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ideiacombr-my.sharepoint.com/personal/rh_redeideia_com_br/Documents/01. RH/02. BENEFÍCIOS/VT e VR/2026/"/>
    </mc:Choice>
  </mc:AlternateContent>
  <xr:revisionPtr revIDLastSave="1134" documentId="13_ncr:1_{85C5D392-1D47-42C5-ABF9-CC521B553764}" xr6:coauthVersionLast="47" xr6:coauthVersionMax="47" xr10:uidLastSave="{C6DF3BE5-8F27-4E36-86B6-DCDFD0179AD4}"/>
  <bookViews>
    <workbookView xWindow="-120" yWindow="-120" windowWidth="20730" windowHeight="11160" tabRatio="824" activeTab="1" xr2:uid="{4FAC33A3-55EB-425B-BEC9-5D24D39D6894}"/>
  </bookViews>
  <sheets>
    <sheet name="Rede Ideia" sheetId="1" r:id="rId1"/>
    <sheet name="Rede Gaúcha" sheetId="3" r:id="rId2"/>
    <sheet name="Business" sheetId="4" r:id="rId3"/>
    <sheet name="Prosperar" sheetId="6" r:id="rId4"/>
    <sheet name="Descontos" sheetId="5" r:id="rId5"/>
  </sheets>
  <definedNames>
    <definedName name="_xlnm._FilterDatabase" localSheetId="2" hidden="1">Business!$B$3:$R$10</definedName>
    <definedName name="_xlnm._FilterDatabase" localSheetId="1" hidden="1">'Rede Gaúcha'!$L$3:$R$23</definedName>
    <definedName name="_xlnm._FilterDatabase" localSheetId="0" hidden="1">'Rede Ideia'!$L$3:$R$39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4" l="1"/>
  <c r="L8" i="3"/>
  <c r="L5" i="4"/>
  <c r="L19" i="3"/>
  <c r="L11" i="4"/>
  <c r="O11" i="4" s="1"/>
  <c r="L8" i="4"/>
  <c r="P8" i="4" s="1"/>
  <c r="Q13" i="3"/>
  <c r="Q27" i="3" s="1"/>
  <c r="L13" i="3"/>
  <c r="H13" i="3"/>
  <c r="G13" i="3"/>
  <c r="I13" i="3" s="1"/>
  <c r="P11" i="4"/>
  <c r="Q11" i="4" s="1"/>
  <c r="H8" i="4"/>
  <c r="G8" i="4"/>
  <c r="I8" i="4" s="1"/>
  <c r="H11" i="4"/>
  <c r="G11" i="4"/>
  <c r="I11" i="4" s="1"/>
  <c r="L21" i="3"/>
  <c r="L7" i="4"/>
  <c r="H21" i="3"/>
  <c r="G21" i="3"/>
  <c r="I21" i="3" s="1"/>
  <c r="H7" i="4"/>
  <c r="G7" i="4"/>
  <c r="G14" i="3"/>
  <c r="L22" i="3"/>
  <c r="L20" i="3"/>
  <c r="O20" i="3" s="1"/>
  <c r="L18" i="3"/>
  <c r="L17" i="3"/>
  <c r="L16" i="3"/>
  <c r="L15" i="3"/>
  <c r="P8" i="3"/>
  <c r="L38" i="1"/>
  <c r="L37" i="1"/>
  <c r="L35" i="1"/>
  <c r="L33" i="1"/>
  <c r="L32" i="1"/>
  <c r="L31" i="1"/>
  <c r="L30" i="1"/>
  <c r="L28" i="1"/>
  <c r="L25" i="1"/>
  <c r="L22" i="1"/>
  <c r="L19" i="1"/>
  <c r="L18" i="1"/>
  <c r="O18" i="1" s="1"/>
  <c r="L17" i="1"/>
  <c r="L15" i="1"/>
  <c r="L14" i="1"/>
  <c r="L11" i="1"/>
  <c r="L8" i="1"/>
  <c r="L5" i="3"/>
  <c r="L11" i="3"/>
  <c r="H19" i="3"/>
  <c r="G19" i="3"/>
  <c r="I19" i="3" s="1"/>
  <c r="H14" i="3"/>
  <c r="H11" i="3"/>
  <c r="G11" i="3"/>
  <c r="H5" i="3"/>
  <c r="G5" i="3"/>
  <c r="O8" i="3"/>
  <c r="H20" i="3"/>
  <c r="G20" i="3"/>
  <c r="I20" i="3" s="1"/>
  <c r="H8" i="3"/>
  <c r="G8" i="3"/>
  <c r="H33" i="1"/>
  <c r="G33" i="1"/>
  <c r="L27" i="1"/>
  <c r="H27" i="1"/>
  <c r="G27" i="1"/>
  <c r="H18" i="1"/>
  <c r="G18" i="1"/>
  <c r="H8" i="1"/>
  <c r="G8" i="1"/>
  <c r="O17" i="3"/>
  <c r="Q17" i="3" s="1"/>
  <c r="G17" i="3"/>
  <c r="I17" i="3" s="1"/>
  <c r="H6" i="4"/>
  <c r="G6" i="4"/>
  <c r="Q6" i="3"/>
  <c r="G6" i="3"/>
  <c r="I6" i="3" s="1"/>
  <c r="L24" i="1"/>
  <c r="H24" i="1"/>
  <c r="G24" i="1"/>
  <c r="P25" i="1"/>
  <c r="P13" i="3" l="1"/>
  <c r="O13" i="3"/>
  <c r="O8" i="4"/>
  <c r="Q8" i="4" s="1"/>
  <c r="Q15" i="4" s="1"/>
  <c r="P7" i="4"/>
  <c r="O7" i="4"/>
  <c r="P21" i="3"/>
  <c r="O21" i="3"/>
  <c r="I7" i="4"/>
  <c r="I14" i="3"/>
  <c r="Q8" i="3"/>
  <c r="P20" i="3"/>
  <c r="Q20" i="3" s="1"/>
  <c r="I6" i="4"/>
  <c r="I11" i="3"/>
  <c r="P19" i="3"/>
  <c r="O19" i="3"/>
  <c r="P11" i="3"/>
  <c r="O11" i="3"/>
  <c r="P5" i="3"/>
  <c r="O5" i="3"/>
  <c r="P14" i="3"/>
  <c r="O14" i="3"/>
  <c r="I5" i="3"/>
  <c r="I8" i="3"/>
  <c r="I33" i="1"/>
  <c r="P6" i="4"/>
  <c r="O6" i="4"/>
  <c r="P27" i="1"/>
  <c r="O27" i="1"/>
  <c r="I27" i="1"/>
  <c r="I8" i="1"/>
  <c r="I18" i="1"/>
  <c r="P18" i="1"/>
  <c r="Q18" i="1" s="1"/>
  <c r="P24" i="1"/>
  <c r="O24" i="1"/>
  <c r="I24" i="1"/>
  <c r="O38" i="1"/>
  <c r="P22" i="1"/>
  <c r="H22" i="1"/>
  <c r="G22" i="1"/>
  <c r="H5" i="4"/>
  <c r="G5" i="4"/>
  <c r="H36" i="1"/>
  <c r="G36" i="1"/>
  <c r="H10" i="1"/>
  <c r="G10" i="1"/>
  <c r="P5" i="4" l="1"/>
  <c r="O5" i="4"/>
  <c r="Q21" i="3"/>
  <c r="Q7" i="4"/>
  <c r="Q5" i="3"/>
  <c r="Q19" i="3"/>
  <c r="Q14" i="3"/>
  <c r="Q11" i="3"/>
  <c r="I10" i="1"/>
  <c r="Q6" i="4"/>
  <c r="Q13" i="4" s="1"/>
  <c r="Q27" i="1"/>
  <c r="I5" i="4"/>
  <c r="Q24" i="1"/>
  <c r="I36" i="1"/>
  <c r="O22" i="1"/>
  <c r="Q22" i="1" s="1"/>
  <c r="P38" i="1"/>
  <c r="Q38" i="1" s="1"/>
  <c r="I22" i="1"/>
  <c r="P16" i="3"/>
  <c r="O16" i="3"/>
  <c r="H16" i="3"/>
  <c r="G16" i="3"/>
  <c r="M10" i="6"/>
  <c r="M8" i="6"/>
  <c r="L10" i="4"/>
  <c r="L7" i="3"/>
  <c r="M7" i="6"/>
  <c r="Q7" i="6" s="1"/>
  <c r="I7" i="6"/>
  <c r="H7" i="6"/>
  <c r="L29" i="1"/>
  <c r="L21" i="1"/>
  <c r="L12" i="1"/>
  <c r="L6" i="1"/>
  <c r="P35" i="1"/>
  <c r="O35" i="1"/>
  <c r="H35" i="1"/>
  <c r="G35" i="1"/>
  <c r="O25" i="1"/>
  <c r="H25" i="1"/>
  <c r="G25" i="1"/>
  <c r="P33" i="1"/>
  <c r="P8" i="1"/>
  <c r="Q5" i="4" l="1"/>
  <c r="Q14" i="4" s="1"/>
  <c r="J7" i="6"/>
  <c r="P7" i="6"/>
  <c r="R7" i="6" s="1"/>
  <c r="Q25" i="1"/>
  <c r="Q16" i="3"/>
  <c r="I16" i="3"/>
  <c r="I25" i="1"/>
  <c r="I35" i="1"/>
  <c r="O33" i="1"/>
  <c r="Q33" i="1" s="1"/>
  <c r="O8" i="1"/>
  <c r="Q8" i="1" s="1"/>
  <c r="H23" i="3"/>
  <c r="G23" i="3"/>
  <c r="H13" i="1"/>
  <c r="G13" i="1"/>
  <c r="P7" i="3"/>
  <c r="L12" i="3"/>
  <c r="I8" i="6"/>
  <c r="H8" i="6"/>
  <c r="I9" i="6"/>
  <c r="H9" i="6"/>
  <c r="M9" i="6"/>
  <c r="Q9" i="6" s="1"/>
  <c r="L9" i="4"/>
  <c r="P37" i="1"/>
  <c r="H31" i="1"/>
  <c r="G31" i="1"/>
  <c r="J8" i="6" l="1"/>
  <c r="J9" i="6"/>
  <c r="I13" i="1"/>
  <c r="I23" i="3"/>
  <c r="Q8" i="6"/>
  <c r="P8" i="6"/>
  <c r="P9" i="6"/>
  <c r="R9" i="6" s="1"/>
  <c r="I31" i="1"/>
  <c r="P31" i="1"/>
  <c r="O31" i="1"/>
  <c r="R8" i="6" l="1"/>
  <c r="Q31" i="1"/>
  <c r="P28" i="1"/>
  <c r="H28" i="1"/>
  <c r="G28" i="1"/>
  <c r="L34" i="1"/>
  <c r="P34" i="1" s="1"/>
  <c r="Q10" i="6"/>
  <c r="H34" i="1"/>
  <c r="G34" i="1"/>
  <c r="O29" i="1"/>
  <c r="H30" i="1"/>
  <c r="H29" i="1"/>
  <c r="G30" i="1"/>
  <c r="G29" i="1"/>
  <c r="P14" i="1"/>
  <c r="P15" i="1"/>
  <c r="O15" i="1"/>
  <c r="H15" i="1"/>
  <c r="G15" i="1"/>
  <c r="O28" i="1" l="1"/>
  <c r="Q28" i="1" s="1"/>
  <c r="Q15" i="1"/>
  <c r="I28" i="1"/>
  <c r="P30" i="1"/>
  <c r="O30" i="1"/>
  <c r="I34" i="1"/>
  <c r="I30" i="1"/>
  <c r="I15" i="1"/>
  <c r="I29" i="1"/>
  <c r="O34" i="1"/>
  <c r="Q34" i="1" s="1"/>
  <c r="P10" i="6"/>
  <c r="R10" i="6" s="1"/>
  <c r="R12" i="6" s="1"/>
  <c r="O14" i="1"/>
  <c r="Q14" i="1" s="1"/>
  <c r="P29" i="1"/>
  <c r="Q29" i="1" s="1"/>
  <c r="H14" i="1"/>
  <c r="G14" i="1"/>
  <c r="Q30" i="1" l="1"/>
  <c r="I14" i="1"/>
  <c r="I10" i="6"/>
  <c r="H10" i="6"/>
  <c r="I6" i="6"/>
  <c r="H6" i="6"/>
  <c r="M6" i="6"/>
  <c r="Q6" i="6" s="1"/>
  <c r="O32" i="1"/>
  <c r="H32" i="1"/>
  <c r="G32" i="1"/>
  <c r="O22" i="3"/>
  <c r="Q22" i="3" s="1"/>
  <c r="G22" i="3"/>
  <c r="I22" i="3" s="1"/>
  <c r="H10" i="4"/>
  <c r="G10" i="4"/>
  <c r="J6" i="6" l="1"/>
  <c r="J10" i="6"/>
  <c r="I10" i="4"/>
  <c r="P6" i="6"/>
  <c r="R6" i="6" s="1"/>
  <c r="R13" i="6" s="1"/>
  <c r="I32" i="1"/>
  <c r="P32" i="1"/>
  <c r="Q32" i="1" s="1"/>
  <c r="O37" i="1"/>
  <c r="H37" i="1"/>
  <c r="G37" i="1"/>
  <c r="J12" i="6" l="1"/>
  <c r="Q37" i="1"/>
  <c r="I37" i="1"/>
  <c r="H9" i="4"/>
  <c r="G9" i="4"/>
  <c r="I9" i="4" l="1"/>
  <c r="I13" i="4" s="1"/>
  <c r="H23" i="1" l="1"/>
  <c r="G23" i="1"/>
  <c r="H16" i="1"/>
  <c r="G16" i="1"/>
  <c r="H9" i="1"/>
  <c r="G9" i="1"/>
  <c r="O6" i="1"/>
  <c r="H6" i="1"/>
  <c r="G6" i="1"/>
  <c r="L10" i="3"/>
  <c r="P10" i="3" s="1"/>
  <c r="H10" i="3"/>
  <c r="G10" i="3"/>
  <c r="I10" i="3" l="1"/>
  <c r="O10" i="3"/>
  <c r="Q10" i="3" s="1"/>
  <c r="I23" i="1"/>
  <c r="I9" i="1"/>
  <c r="I16" i="1"/>
  <c r="I6" i="1"/>
  <c r="P6" i="1"/>
  <c r="Q6" i="1" s="1"/>
  <c r="P19" i="1"/>
  <c r="O19" i="1"/>
  <c r="H19" i="1"/>
  <c r="G19" i="1"/>
  <c r="H5" i="1"/>
  <c r="G5" i="1"/>
  <c r="I5" i="1" l="1"/>
  <c r="Q44" i="1"/>
  <c r="I19" i="1"/>
  <c r="Q19" i="1"/>
  <c r="H17" i="1" l="1"/>
  <c r="G17" i="1"/>
  <c r="H26" i="1"/>
  <c r="I17" i="1" l="1"/>
  <c r="G26" i="1" l="1"/>
  <c r="I26" i="1" s="1"/>
  <c r="P15" i="3"/>
  <c r="P11" i="1"/>
  <c r="P12" i="1"/>
  <c r="P17" i="1"/>
  <c r="P21" i="1"/>
  <c r="H9" i="3"/>
  <c r="H7" i="1"/>
  <c r="G7" i="1"/>
  <c r="H39" i="1"/>
  <c r="G39" i="1"/>
  <c r="I39" i="1" l="1"/>
  <c r="I7" i="1"/>
  <c r="H12" i="1"/>
  <c r="G12" i="1"/>
  <c r="O12" i="1"/>
  <c r="O17" i="1"/>
  <c r="I12" i="1" l="1"/>
  <c r="Q12" i="1"/>
  <c r="Q43" i="1" s="1"/>
  <c r="Q17" i="1"/>
  <c r="O18" i="3"/>
  <c r="Q18" i="3" s="1"/>
  <c r="Q25" i="3" s="1"/>
  <c r="G18" i="3"/>
  <c r="I18" i="3" s="1"/>
  <c r="O15" i="3"/>
  <c r="Q15" i="3" s="1"/>
  <c r="Q26" i="3" s="1"/>
  <c r="H15" i="3"/>
  <c r="G15" i="3"/>
  <c r="H12" i="3"/>
  <c r="G12" i="3"/>
  <c r="I12" i="3" s="1"/>
  <c r="G9" i="3"/>
  <c r="I9" i="3" s="1"/>
  <c r="O7" i="3"/>
  <c r="H7" i="3"/>
  <c r="G7" i="3"/>
  <c r="O11" i="1"/>
  <c r="Q11" i="1" s="1"/>
  <c r="Q42" i="1" s="1"/>
  <c r="O21" i="1"/>
  <c r="Q21" i="1" s="1"/>
  <c r="H11" i="1"/>
  <c r="H20" i="1"/>
  <c r="H21" i="1"/>
  <c r="G11" i="1"/>
  <c r="G20" i="1"/>
  <c r="G21" i="1"/>
  <c r="Q41" i="1" l="1"/>
  <c r="I7" i="3"/>
  <c r="I15" i="3"/>
  <c r="I11" i="1"/>
  <c r="I20" i="1"/>
  <c r="I21" i="1"/>
  <c r="I25" i="3" l="1"/>
  <c r="I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 - Deise Hunger</author>
    <author>Comercial - Rubem Marques</author>
  </authors>
  <commentList>
    <comment ref="E3" authorId="0" shapeId="0" xr:uid="{DB015EA9-7299-4EBB-9A8A-ED20B31895F7}">
      <text>
        <r>
          <rPr>
            <b/>
            <sz val="9"/>
            <color indexed="81"/>
            <rFont val="Tahoma"/>
            <charset val="1"/>
          </rPr>
          <t>RH - Deise Hunger:</t>
        </r>
        <r>
          <rPr>
            <sz val="9"/>
            <color indexed="81"/>
            <rFont val="Tahoma"/>
            <charset val="1"/>
          </rPr>
          <t xml:space="preserve">
Descontado sempre do mês anterior</t>
        </r>
      </text>
    </comment>
    <comment ref="F3" authorId="1" shapeId="0" xr:uid="{A3DDA621-375C-48E1-8DAF-36CC1777DC07}">
      <text>
        <r>
          <rPr>
            <b/>
            <sz val="9"/>
            <color indexed="81"/>
            <rFont val="Segoe UI"/>
            <family val="2"/>
          </rPr>
          <t xml:space="preserve">Deise Hunger: Atestados e faltas não remuneradas
</t>
        </r>
      </text>
    </comment>
    <comment ref="L29" authorId="0" shapeId="0" xr:uid="{1D86BC66-8595-4C97-BAB6-12AE2C999D9E}">
      <text>
        <r>
          <rPr>
            <b/>
            <sz val="9"/>
            <color indexed="81"/>
            <rFont val="Tahoma"/>
            <charset val="1"/>
          </rPr>
          <t>RH - Deise Hunger:</t>
        </r>
        <r>
          <rPr>
            <sz val="9"/>
            <color indexed="81"/>
            <rFont val="Tahoma"/>
            <charset val="1"/>
          </rPr>
          <t xml:space="preserve">
Home office por ordem médica</t>
        </r>
      </text>
    </comment>
    <comment ref="M32" authorId="0" shapeId="0" xr:uid="{1E0688CB-0D27-4E70-A9E7-2666F7A5BBEA}">
      <text>
        <r>
          <rPr>
            <b/>
            <sz val="9"/>
            <color indexed="81"/>
            <rFont val="Tahoma"/>
            <charset val="1"/>
          </rPr>
          <t>RH - Deise Hunger:</t>
        </r>
        <r>
          <rPr>
            <sz val="9"/>
            <color indexed="81"/>
            <rFont val="Tahoma"/>
            <charset val="1"/>
          </rPr>
          <t xml:space="preserve">
Reembolso dos dias de Abril presenciais</t>
        </r>
      </text>
    </comment>
    <comment ref="L35" authorId="0" shapeId="0" xr:uid="{93CFFF6A-65B5-42C9-95F9-9A353D023910}">
      <text>
        <r>
          <rPr>
            <b/>
            <sz val="9"/>
            <color indexed="81"/>
            <rFont val="Tahoma"/>
            <charset val="1"/>
          </rPr>
          <t>RH - Deise Hunger:</t>
        </r>
        <r>
          <rPr>
            <sz val="9"/>
            <color indexed="81"/>
            <rFont val="Tahoma"/>
            <charset val="1"/>
          </rPr>
          <t xml:space="preserve">
Home office por ordem médica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Comercial - Rubem Marques</author>
    <author>RH - Deise Hunger</author>
  </authors>
  <commentList>
    <comment ref="E3" authorId="0" shapeId="0" xr:uid="{DBD518D9-299A-4486-AEE8-1F33A7A9020F}">
      <text>
        <r>
          <rPr>
            <b/>
            <sz val="9"/>
            <color indexed="81"/>
            <rFont val="Segoe UI"/>
            <family val="2"/>
          </rPr>
          <t>Deise Hunger: Descontado sempre do mês anterior</t>
        </r>
      </text>
    </comment>
    <comment ref="F3" authorId="0" shapeId="0" xr:uid="{F1EF1B05-F0F1-4974-9534-72972DB44B1C}">
      <text>
        <r>
          <rPr>
            <b/>
            <sz val="9"/>
            <color indexed="81"/>
            <rFont val="Segoe UI"/>
            <family val="2"/>
          </rPr>
          <t xml:space="preserve">Deise Hunger: Atestados e faltas não remuneradas
</t>
        </r>
      </text>
    </comment>
    <comment ref="Q13" authorId="1" shapeId="0" xr:uid="{BCB9D354-623C-4635-9572-FE27D7E09B8A}">
      <text>
        <r>
          <rPr>
            <b/>
            <sz val="9"/>
            <color indexed="81"/>
            <rFont val="Tahoma"/>
            <charset val="1"/>
          </rPr>
          <t>RH - Deise Hunger:</t>
        </r>
        <r>
          <rPr>
            <sz val="9"/>
            <color indexed="81"/>
            <rFont val="Tahoma"/>
            <charset val="1"/>
          </rPr>
          <t xml:space="preserve">
Desconto referente ao TEU que possuia crédito.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Comercial - Rubem Marques</author>
  </authors>
  <commentList>
    <comment ref="E3" authorId="0" shapeId="0" xr:uid="{BED16FDC-9945-47D6-A38C-324DE9D6861D}">
      <text>
        <r>
          <rPr>
            <b/>
            <sz val="9"/>
            <color indexed="81"/>
            <rFont val="Segoe UI"/>
            <family val="2"/>
          </rPr>
          <t>Deise Hunger: Descontado sempre do mês anterior</t>
        </r>
      </text>
    </comment>
    <comment ref="F3" authorId="0" shapeId="0" xr:uid="{321D592E-7635-4764-A5E5-D3C921A9CF06}">
      <text>
        <r>
          <rPr>
            <b/>
            <sz val="9"/>
            <color indexed="81"/>
            <rFont val="Segoe UI"/>
            <family val="2"/>
          </rPr>
          <t xml:space="preserve">Deise Hunger: Atestados e faltas não remuneradas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Comercial - Rubem Marques</author>
  </authors>
  <commentList>
    <comment ref="F3" authorId="0" shapeId="0" xr:uid="{270609B7-B76B-4DD6-A42A-B7DEDD73FEF8}">
      <text>
        <r>
          <rPr>
            <b/>
            <sz val="9"/>
            <color indexed="81"/>
            <rFont val="Segoe UI"/>
            <family val="2"/>
          </rPr>
          <t>Deise Hunger: Descontado sempre do mês anterior</t>
        </r>
      </text>
    </comment>
    <comment ref="G3" authorId="0" shapeId="0" xr:uid="{EDBC9E10-B4CB-464D-81D2-80EB48AD2E59}">
      <text>
        <r>
          <rPr>
            <b/>
            <sz val="9"/>
            <color indexed="81"/>
            <rFont val="Segoe UI"/>
            <family val="2"/>
          </rPr>
          <t xml:space="preserve">Deise Hunger: Atestados e faltas não remuneradas
</t>
        </r>
      </text>
    </comment>
  </commentList>
</comments>
</file>

<file path=xl/sharedStrings.xml><?xml version="1.0" encoding="utf-8"?>
<sst xmlns="http://schemas.openxmlformats.org/spreadsheetml/2006/main" count="397" uniqueCount="113">
  <si>
    <t>REDE IDEIA</t>
  </si>
  <si>
    <t>Nome</t>
  </si>
  <si>
    <t>Valor Refeição</t>
  </si>
  <si>
    <t>Frutas</t>
  </si>
  <si>
    <t>Dias Úteis</t>
  </si>
  <si>
    <t>Férias</t>
  </si>
  <si>
    <t>Faltas</t>
  </si>
  <si>
    <t>Bruto</t>
  </si>
  <si>
    <t>Desconto</t>
  </si>
  <si>
    <t>TOTAL</t>
  </si>
  <si>
    <t>Valor Transporte</t>
  </si>
  <si>
    <t>Home Office</t>
  </si>
  <si>
    <t>Obs.</t>
  </si>
  <si>
    <t>ALINE DIAS DE BRITO</t>
  </si>
  <si>
    <t>-</t>
  </si>
  <si>
    <t>HOME OFFICE</t>
  </si>
  <si>
    <t>AMANDA DA ROSA FERRÃO</t>
  </si>
  <si>
    <t>COMBUSTIVEL</t>
  </si>
  <si>
    <t>BRUNO DA SILVA CAMARA</t>
  </si>
  <si>
    <t>CAROLINE KARNAL DOS SANTOS</t>
  </si>
  <si>
    <t>CAROLYNE COSTA MACHADO</t>
  </si>
  <si>
    <t>DANIELLY RENATA HERZER</t>
  </si>
  <si>
    <t>BROCHIER</t>
  </si>
  <si>
    <t>DEISE DA SILVA HUNGER</t>
  </si>
  <si>
    <t>TRI</t>
  </si>
  <si>
    <t>EDUARDA BLANCO AIMONE</t>
  </si>
  <si>
    <t>TEU</t>
  </si>
  <si>
    <t>ÉVELIN EMILY DE OLIVEIRA</t>
  </si>
  <si>
    <t>GABRIEL AREND PIRES</t>
  </si>
  <si>
    <t>GABRIELA MARQUES DA SILVA</t>
  </si>
  <si>
    <t>GUILHERME MARTINS PROTAS</t>
  </si>
  <si>
    <t>ISADORA DA MAIA HUNGER</t>
  </si>
  <si>
    <t>JANAIARA DE MATTOS MENEZES</t>
  </si>
  <si>
    <t>JÉSSICA DA CUNHA ALVES</t>
  </si>
  <si>
    <t>JESSICA DA SILVA DUARTE</t>
  </si>
  <si>
    <t>JOSIANE MACHADO ALVES</t>
  </si>
  <si>
    <t>JÚLIA MENEZES DE FREITAS</t>
  </si>
  <si>
    <t>KETHELYN OLIVEIRA PINTO</t>
  </si>
  <si>
    <t>LAÍS DA SILVA EVALDT PURZEL</t>
  </si>
  <si>
    <t>LAURA DA SILVA FERNANDES</t>
  </si>
  <si>
    <t>MITALLY NAZARIO</t>
  </si>
  <si>
    <t>MORGANA ASSIS DA SILVA</t>
  </si>
  <si>
    <t>NATANIELE COSTA DA SILVEIRA</t>
  </si>
  <si>
    <t>NATASHA LIPPERT VARELA</t>
  </si>
  <si>
    <t>NAYANE ARAUJO PREZZI</t>
  </si>
  <si>
    <t>PRICILLA IBARRA RANGEL</t>
  </si>
  <si>
    <t>RAFAELA ROSONI DA SILVA</t>
  </si>
  <si>
    <t>RAISSA ALANIS GENTZ VIANA</t>
  </si>
  <si>
    <t>RENE MICHEL DE SOUZA</t>
  </si>
  <si>
    <t>TAINÁ LACERDA RODRIGUES</t>
  </si>
  <si>
    <t>TALITA CARDOSO BUCHMANN</t>
  </si>
  <si>
    <t>VANESSA BENZ DE SOUZA</t>
  </si>
  <si>
    <t>Vinicius Colares Paiva</t>
  </si>
  <si>
    <t>WILLIAM DA SILVA CAMARA</t>
  </si>
  <si>
    <t>REFEIÇÃO</t>
  </si>
  <si>
    <t>Fênix</t>
  </si>
  <si>
    <t>REDE GAÚCHA</t>
  </si>
  <si>
    <t>ALESSANDRO DE LIMA CANABARRO</t>
  </si>
  <si>
    <t>AMANDA FRAGA EMERIM</t>
  </si>
  <si>
    <t>ANA CAROLINE BATISTA DA SILVA LODI</t>
  </si>
  <si>
    <t>ANA ELISE NUNES</t>
  </si>
  <si>
    <t>ANDERSON DA ROSA FERRÃO</t>
  </si>
  <si>
    <t>ANDRESSA LUANA FELIPE DA SILVA</t>
  </si>
  <si>
    <t>ARIEL CRISTIANI MANGONI BARBOSA</t>
  </si>
  <si>
    <t>DANIELE SANTIAGO</t>
  </si>
  <si>
    <t>ELLEN SCHAURICH MULLER</t>
  </si>
  <si>
    <t>EDUARDA BRUSCH KLEIN</t>
  </si>
  <si>
    <t>FLAVIA GABRIELE BOGEA DOS SANTOS</t>
  </si>
  <si>
    <t>GABRIELLE ALMANSA NUNES FLORISBAL</t>
  </si>
  <si>
    <t>ISABELA CORREA SANTOS</t>
  </si>
  <si>
    <t>JENIFFER CAMPOS CRISTOVÃO</t>
  </si>
  <si>
    <t>KALINA HEPP SOKOLOV</t>
  </si>
  <si>
    <t>LUIZA ADRIANA ERNEST DUARTE</t>
  </si>
  <si>
    <t>RODRIGO ALVES DE FREITAS</t>
  </si>
  <si>
    <t>SUZANA CARVALHO MARZANO</t>
  </si>
  <si>
    <t>TAIS CAROLINI DOS SANTOS</t>
  </si>
  <si>
    <t>IDEIA BUSINESS</t>
  </si>
  <si>
    <t>ARTHUR FREITAS BORBA</t>
  </si>
  <si>
    <t>BIANCA DA SILVA DIAS</t>
  </si>
  <si>
    <t>DIENIFFER RODRIGUES DA SILVA</t>
  </si>
  <si>
    <t>JOSÉ GABRIEL DA SILVA</t>
  </si>
  <si>
    <t>LUCAS SCHWINGEL DE OLIVEIRA</t>
  </si>
  <si>
    <t>ROGER EVALDT DA SILVA</t>
  </si>
  <si>
    <t>STEPHANE FREITAS ARAUJO</t>
  </si>
  <si>
    <t>PROSPERAR</t>
  </si>
  <si>
    <t>DANIELE HORLAT</t>
  </si>
  <si>
    <t>ÉVELIM VITICOSKI DOS SANTOS</t>
  </si>
  <si>
    <t>MARITÊ RODRIGUES</t>
  </si>
  <si>
    <t>RAQUEL BITENCOURTE DOS SANTOS</t>
  </si>
  <si>
    <t>TAINARA PEREIRA DE OLIVEIRA</t>
  </si>
  <si>
    <t>Periodo da Folha</t>
  </si>
  <si>
    <t>20/03/2026 - 19/04/2026</t>
  </si>
  <si>
    <t> </t>
  </si>
  <si>
    <t>Alessandro de Lima Canabarro</t>
  </si>
  <si>
    <t>ATESTADO MÉDICO</t>
  </si>
  <si>
    <t>Bruno da Silva Câmara</t>
  </si>
  <si>
    <t>Daniele Santiago</t>
  </si>
  <si>
    <t>FALTA NÃO JUSTIFICADA</t>
  </si>
  <si>
    <t>Danielly Renata Herzer</t>
  </si>
  <si>
    <t>FERIADO BROCHIER</t>
  </si>
  <si>
    <t>Dieniffer Rodrigues Da Silva</t>
  </si>
  <si>
    <t>Eduarda Blanco Aimone</t>
  </si>
  <si>
    <t>Évelin Emily de Oliveira</t>
  </si>
  <si>
    <t>Flavia Gabriele Bogea dos Anjos</t>
  </si>
  <si>
    <t>06 - 08/04/2026</t>
  </si>
  <si>
    <t>Gabrielle Almansa Nunes Florisbal</t>
  </si>
  <si>
    <t>09 - 10/04/2026</t>
  </si>
  <si>
    <t>Janaiara De Mattos Menezes</t>
  </si>
  <si>
    <t>Lucas Schwingel de Oliveira Abreu</t>
  </si>
  <si>
    <t>Tainara Pereira de Oliveira</t>
  </si>
  <si>
    <t>01 - 02/04/2026</t>
  </si>
  <si>
    <t>Tais Carolini dos Santos</t>
  </si>
  <si>
    <t>Talita Cardoso Buchmann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</si>
</sst>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6">
    <font>
      <sz val="11"/>
      <color theme="1"/>
      <name val="Calibri"/>
      <family val="2"/>
      <scheme val="minor"/>
    </font>
    <font>
      <b/>
      <sz val="11"/>
      <color theme="4" tint="-0.499984740745262"/>
      <name val="Consolas"/>
      <family val="3"/>
    </font>
    <font>
      <sz val="10"/>
      <color rgb="FF7030A0"/>
      <name val="Consolas"/>
      <family val="3"/>
    </font>
    <font>
      <sz val="11"/>
      <color rgb="FF7030A0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0"/>
      <color theme="4" tint="-0.249977111117893"/>
      <name val="Consolas"/>
      <family val="3"/>
    </font>
    <font>
      <sz val="11"/>
      <color theme="4" tint="-0.249977111117893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rgb="FF203764"/>
      <name val="Consolas"/>
      <family val="3"/>
    </font>
    <font>
      <b/>
      <sz val="10"/>
      <color rgb="FF203764"/>
      <name val="Consolas"/>
      <family val="3"/>
    </font>
    <font>
      <b/>
      <sz val="10"/>
      <color rgb="FF2F75B5"/>
      <name val="Consolas"/>
      <family val="3"/>
    </font>
    <font>
      <sz val="11"/>
      <color rgb="FF000000"/>
      <name val="Calibri"/>
      <family val="2"/>
    </font>
    <font>
      <sz val="10"/>
      <color rgb="FF305496"/>
      <name val="Consolas"/>
      <family val="3"/>
    </font>
    <font>
      <sz val="10"/>
      <color theme="4" tint="-0.24997711111789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000000"/>
      </right>
      <top/>
      <bottom style="thin">
        <color rgb="FFA5A5A5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2" xfId="0" applyFont="1" applyBorder="1"/>
    <xf numFmtId="0" fontId="1" fillId="0" borderId="3" xfId="0" applyFont="1" applyBorder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/>
    <xf numFmtId="0" fontId="6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/>
    <xf numFmtId="0" fontId="6" fillId="0" borderId="2" xfId="0" applyFont="1" applyBorder="1"/>
    <xf numFmtId="0" fontId="4" fillId="0" borderId="0" xfId="0" applyFont="1" applyAlignment="1">
      <alignment horizontal="left" vertical="center"/>
    </xf>
    <xf numFmtId="164" fontId="6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1" fillId="0" borderId="4" xfId="0" applyFont="1" applyBorder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right"/>
    </xf>
    <xf numFmtId="14" fontId="12" fillId="0" borderId="11" xfId="0" applyNumberFormat="1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14" fontId="12" fillId="0" borderId="11" xfId="0" applyNumberFormat="1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9" fillId="0" borderId="5" xfId="0" applyFont="1" applyBorder="1" applyAlignment="1"/>
    <xf numFmtId="0" fontId="9" fillId="0" borderId="0" xfId="0" applyFont="1" applyAlignment="1"/>
    <xf numFmtId="0" fontId="9" fillId="0" borderId="6" xfId="0" applyFont="1" applyBorder="1" applyAlignment="1"/>
    <xf numFmtId="0" fontId="9" fillId="0" borderId="7" xfId="0" applyFont="1" applyBorder="1" applyAlignment="1"/>
    <xf numFmtId="0" fontId="9" fillId="0" borderId="8" xfId="0" applyFont="1" applyBorder="1" applyAlignment="1"/>
    <xf numFmtId="0" fontId="9" fillId="0" borderId="9" xfId="0" applyFont="1" applyBorder="1" applyAlignment="1"/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2CE6-41A6-4622-91C8-EBE6C461168C}">
  <dimension ref="A1:T50"/>
  <sheetViews>
    <sheetView showGridLines="0" zoomScaleNormal="100" workbookViewId="0">
      <pane xSplit="1" topLeftCell="C1" activePane="topRight" state="frozen"/>
      <selection pane="topRight" activeCell="Q41" sqref="Q41"/>
    </sheetView>
  </sheetViews>
  <sheetFormatPr defaultRowHeight="15"/>
  <cols>
    <col min="1" max="1" width="36" customWidth="1"/>
    <col min="2" max="2" width="12.42578125" customWidth="1"/>
    <col min="3" max="3" width="9" bestFit="1" customWidth="1"/>
    <col min="4" max="4" width="7.42578125" customWidth="1"/>
    <col min="5" max="6" width="9.28515625" bestFit="1" customWidth="1"/>
    <col min="7" max="7" width="12.140625" customWidth="1"/>
    <col min="8" max="8" width="11.28515625" customWidth="1"/>
    <col min="9" max="9" width="13.140625" bestFit="1" customWidth="1"/>
    <col min="10" max="11" width="1.7109375" customWidth="1"/>
    <col min="12" max="12" width="12.42578125" customWidth="1"/>
    <col min="13" max="14" width="9.28515625" bestFit="1" customWidth="1"/>
    <col min="15" max="16" width="11.28515625" bestFit="1" customWidth="1"/>
    <col min="17" max="17" width="12.28515625" bestFit="1" customWidth="1"/>
    <col min="18" max="18" width="30.7109375" customWidth="1"/>
  </cols>
  <sheetData>
    <row r="1" spans="1:20" ht="18.75">
      <c r="A1" s="38" t="s">
        <v>0</v>
      </c>
      <c r="B1" s="28"/>
      <c r="C1" s="25"/>
      <c r="F1" s="37"/>
      <c r="G1" s="37"/>
      <c r="H1" s="37"/>
      <c r="I1" s="37"/>
      <c r="K1" s="2"/>
    </row>
    <row r="2" spans="1:20" ht="18.75" customHeight="1">
      <c r="A2" s="38"/>
      <c r="B2" s="28"/>
      <c r="C2" s="25"/>
      <c r="F2" s="37"/>
      <c r="G2" s="37"/>
      <c r="H2" s="37"/>
      <c r="I2" s="37"/>
      <c r="K2" s="2"/>
    </row>
    <row r="3" spans="1:20">
      <c r="A3" s="41" t="s">
        <v>1</v>
      </c>
      <c r="B3" s="34" t="s">
        <v>2</v>
      </c>
      <c r="C3" s="34" t="s">
        <v>3</v>
      </c>
      <c r="D3" s="34" t="s">
        <v>4</v>
      </c>
      <c r="E3" s="39" t="s">
        <v>5</v>
      </c>
      <c r="F3" s="39" t="s">
        <v>6</v>
      </c>
      <c r="G3" s="34" t="s">
        <v>7</v>
      </c>
      <c r="H3" s="34" t="s">
        <v>8</v>
      </c>
      <c r="I3" s="34" t="s">
        <v>9</v>
      </c>
      <c r="J3" s="4"/>
      <c r="K3" s="6"/>
      <c r="L3" s="34" t="s">
        <v>10</v>
      </c>
      <c r="M3" s="34" t="s">
        <v>4</v>
      </c>
      <c r="N3" s="34" t="s">
        <v>11</v>
      </c>
      <c r="O3" s="34" t="s">
        <v>7</v>
      </c>
      <c r="P3" s="34" t="s">
        <v>8</v>
      </c>
      <c r="Q3" s="34" t="s">
        <v>9</v>
      </c>
      <c r="R3" s="34" t="s">
        <v>12</v>
      </c>
    </row>
    <row r="4" spans="1:20" ht="12.75" customHeight="1">
      <c r="A4" s="42"/>
      <c r="B4" s="35"/>
      <c r="C4" s="35"/>
      <c r="D4" s="35"/>
      <c r="E4" s="40"/>
      <c r="F4" s="40"/>
      <c r="G4" s="35"/>
      <c r="H4" s="35"/>
      <c r="I4" s="35"/>
      <c r="J4" s="7"/>
      <c r="K4" s="12"/>
      <c r="L4" s="35"/>
      <c r="M4" s="35"/>
      <c r="N4" s="35"/>
      <c r="O4" s="35"/>
      <c r="P4" s="35"/>
      <c r="Q4" s="35"/>
      <c r="R4" s="35"/>
    </row>
    <row r="5" spans="1:20">
      <c r="A5" s="16" t="s">
        <v>13</v>
      </c>
      <c r="B5" s="17">
        <v>31</v>
      </c>
      <c r="C5" s="17" t="s">
        <v>14</v>
      </c>
      <c r="D5" s="18">
        <v>20</v>
      </c>
      <c r="E5" s="18">
        <v>0</v>
      </c>
      <c r="F5" s="18">
        <v>0</v>
      </c>
      <c r="G5" s="17">
        <f>B5*D5</f>
        <v>620</v>
      </c>
      <c r="H5" s="17">
        <f>B5*(E5+F5)</f>
        <v>0</v>
      </c>
      <c r="I5" s="17">
        <f>G5-H5</f>
        <v>620</v>
      </c>
      <c r="J5" s="17"/>
      <c r="K5" s="19"/>
      <c r="L5" s="17" t="s">
        <v>14</v>
      </c>
      <c r="M5" s="18">
        <v>20</v>
      </c>
      <c r="N5" s="18">
        <v>0</v>
      </c>
      <c r="O5" s="17" t="s">
        <v>14</v>
      </c>
      <c r="P5" s="17" t="s">
        <v>14</v>
      </c>
      <c r="Q5" s="17" t="s">
        <v>14</v>
      </c>
      <c r="R5" s="16" t="s">
        <v>15</v>
      </c>
      <c r="S5" s="8"/>
      <c r="T5" s="8"/>
    </row>
    <row r="6" spans="1:20">
      <c r="A6" s="16" t="s">
        <v>16</v>
      </c>
      <c r="B6" s="17">
        <v>31</v>
      </c>
      <c r="C6" s="17" t="s">
        <v>14</v>
      </c>
      <c r="D6" s="18">
        <v>20</v>
      </c>
      <c r="E6" s="18">
        <v>0</v>
      </c>
      <c r="F6" s="18">
        <v>0</v>
      </c>
      <c r="G6" s="17">
        <f>B6*D6</f>
        <v>620</v>
      </c>
      <c r="H6" s="17">
        <f>B6*(E6+F6)</f>
        <v>0</v>
      </c>
      <c r="I6" s="17">
        <f>G6-H6</f>
        <v>620</v>
      </c>
      <c r="J6" s="17"/>
      <c r="K6" s="19"/>
      <c r="L6" s="17">
        <f>7.75*2</f>
        <v>15.5</v>
      </c>
      <c r="M6" s="18">
        <v>20</v>
      </c>
      <c r="N6" s="18">
        <v>0</v>
      </c>
      <c r="O6" s="17">
        <f>L6*M6</f>
        <v>310</v>
      </c>
      <c r="P6" s="17">
        <f>L6*(E6+N6+F6)</f>
        <v>0</v>
      </c>
      <c r="Q6" s="17">
        <f>O6-P6</f>
        <v>310</v>
      </c>
      <c r="R6" s="16" t="s">
        <v>17</v>
      </c>
      <c r="S6" s="8"/>
      <c r="T6" s="8"/>
    </row>
    <row r="7" spans="1:20">
      <c r="A7" s="16" t="s">
        <v>18</v>
      </c>
      <c r="B7" s="17">
        <v>31</v>
      </c>
      <c r="C7" s="17" t="s">
        <v>14</v>
      </c>
      <c r="D7" s="18">
        <v>20</v>
      </c>
      <c r="E7" s="18">
        <v>19</v>
      </c>
      <c r="F7" s="18">
        <v>1</v>
      </c>
      <c r="G7" s="17">
        <f>B7*D7</f>
        <v>620</v>
      </c>
      <c r="H7" s="17">
        <f>B7*(E7+F7)</f>
        <v>620</v>
      </c>
      <c r="I7" s="17">
        <f>G7-H7</f>
        <v>0</v>
      </c>
      <c r="J7" s="17"/>
      <c r="K7" s="19"/>
      <c r="L7" s="17" t="s">
        <v>14</v>
      </c>
      <c r="M7" s="18">
        <v>20</v>
      </c>
      <c r="N7" s="18">
        <v>0</v>
      </c>
      <c r="O7" s="17" t="s">
        <v>14</v>
      </c>
      <c r="P7" s="17" t="s">
        <v>14</v>
      </c>
      <c r="Q7" s="17" t="s">
        <v>14</v>
      </c>
      <c r="R7" s="16" t="s">
        <v>15</v>
      </c>
      <c r="S7" s="8"/>
      <c r="T7" s="8"/>
    </row>
    <row r="8" spans="1:20">
      <c r="A8" s="16" t="s">
        <v>19</v>
      </c>
      <c r="B8" s="17">
        <v>31</v>
      </c>
      <c r="C8" s="17" t="s">
        <v>14</v>
      </c>
      <c r="D8" s="18">
        <v>20</v>
      </c>
      <c r="E8" s="18">
        <v>0</v>
      </c>
      <c r="F8" s="18">
        <v>0</v>
      </c>
      <c r="G8" s="17">
        <f>B8*D8</f>
        <v>620</v>
      </c>
      <c r="H8" s="17">
        <f>B8*(E8+F8)</f>
        <v>0</v>
      </c>
      <c r="I8" s="17">
        <f>G8-H8</f>
        <v>620</v>
      </c>
      <c r="J8" s="17"/>
      <c r="K8" s="19"/>
      <c r="L8" s="17">
        <f>5.3*2</f>
        <v>10.6</v>
      </c>
      <c r="M8" s="18">
        <v>20</v>
      </c>
      <c r="N8" s="18">
        <v>8</v>
      </c>
      <c r="O8" s="17">
        <f>L8*M8</f>
        <v>212</v>
      </c>
      <c r="P8" s="17">
        <f>L8*(E8+N8+F8)</f>
        <v>84.8</v>
      </c>
      <c r="Q8" s="17">
        <f>O8-P8</f>
        <v>127.2</v>
      </c>
      <c r="R8" s="16" t="s">
        <v>17</v>
      </c>
      <c r="S8" s="8"/>
      <c r="T8" s="8"/>
    </row>
    <row r="9" spans="1:20">
      <c r="A9" s="16" t="s">
        <v>20</v>
      </c>
      <c r="B9" s="17">
        <v>31</v>
      </c>
      <c r="C9" s="17" t="s">
        <v>14</v>
      </c>
      <c r="D9" s="18">
        <v>20</v>
      </c>
      <c r="E9" s="18">
        <v>0</v>
      </c>
      <c r="F9" s="18">
        <v>0</v>
      </c>
      <c r="G9" s="17">
        <f t="shared" ref="G9:G39" si="0">B9*D9</f>
        <v>620</v>
      </c>
      <c r="H9" s="17">
        <f t="shared" ref="H9:H39" si="1">B9*(E9+F9)</f>
        <v>0</v>
      </c>
      <c r="I9" s="17">
        <f>G9-H9</f>
        <v>620</v>
      </c>
      <c r="J9" s="17"/>
      <c r="K9" s="19"/>
      <c r="L9" s="17" t="s">
        <v>14</v>
      </c>
      <c r="M9" s="18">
        <v>20</v>
      </c>
      <c r="N9" s="18">
        <v>0</v>
      </c>
      <c r="O9" s="17" t="s">
        <v>14</v>
      </c>
      <c r="P9" s="17" t="s">
        <v>14</v>
      </c>
      <c r="Q9" s="17" t="s">
        <v>14</v>
      </c>
      <c r="R9" s="16" t="s">
        <v>15</v>
      </c>
      <c r="S9" s="8"/>
      <c r="T9" s="8"/>
    </row>
    <row r="10" spans="1:20">
      <c r="A10" s="16" t="s">
        <v>21</v>
      </c>
      <c r="B10" s="17">
        <v>31</v>
      </c>
      <c r="C10" s="17">
        <v>20</v>
      </c>
      <c r="D10" s="18">
        <v>20</v>
      </c>
      <c r="E10" s="18">
        <v>0</v>
      </c>
      <c r="F10" s="18">
        <v>1</v>
      </c>
      <c r="G10" s="17">
        <f>B10*D10</f>
        <v>620</v>
      </c>
      <c r="H10" s="17">
        <f>B10*(E10+F10)</f>
        <v>31</v>
      </c>
      <c r="I10" s="17">
        <f>G10-H10+C10</f>
        <v>609</v>
      </c>
      <c r="J10" s="17"/>
      <c r="K10" s="19"/>
      <c r="L10" s="17" t="s">
        <v>14</v>
      </c>
      <c r="M10" s="18">
        <v>20</v>
      </c>
      <c r="N10" s="18">
        <v>0</v>
      </c>
      <c r="O10" s="17" t="s">
        <v>14</v>
      </c>
      <c r="P10" s="17" t="s">
        <v>14</v>
      </c>
      <c r="Q10" s="17" t="s">
        <v>14</v>
      </c>
      <c r="R10" s="16" t="s">
        <v>22</v>
      </c>
      <c r="S10" s="8"/>
      <c r="T10" s="8"/>
    </row>
    <row r="11" spans="1:20">
      <c r="A11" s="16" t="s">
        <v>23</v>
      </c>
      <c r="B11" s="17">
        <v>31</v>
      </c>
      <c r="C11" s="17" t="s">
        <v>14</v>
      </c>
      <c r="D11" s="18">
        <v>20</v>
      </c>
      <c r="E11" s="18">
        <v>0</v>
      </c>
      <c r="F11" s="18">
        <v>0</v>
      </c>
      <c r="G11" s="17">
        <f t="shared" si="0"/>
        <v>620</v>
      </c>
      <c r="H11" s="17">
        <f t="shared" si="1"/>
        <v>0</v>
      </c>
      <c r="I11" s="17">
        <f>G11-H11</f>
        <v>620</v>
      </c>
      <c r="J11" s="17"/>
      <c r="K11" s="19"/>
      <c r="L11" s="17">
        <f>5.3*2</f>
        <v>10.6</v>
      </c>
      <c r="M11" s="18">
        <v>20</v>
      </c>
      <c r="N11" s="18">
        <v>8</v>
      </c>
      <c r="O11" s="17">
        <f>L11*M11</f>
        <v>212</v>
      </c>
      <c r="P11" s="17">
        <f>L11*(E11+N11+F11)</f>
        <v>84.8</v>
      </c>
      <c r="Q11" s="17">
        <f>O11-P11</f>
        <v>127.2</v>
      </c>
      <c r="R11" s="16" t="s">
        <v>24</v>
      </c>
      <c r="S11" s="8"/>
      <c r="T11" s="8"/>
    </row>
    <row r="12" spans="1:20">
      <c r="A12" s="16" t="s">
        <v>25</v>
      </c>
      <c r="B12" s="17">
        <v>31</v>
      </c>
      <c r="C12" s="17" t="s">
        <v>14</v>
      </c>
      <c r="D12" s="18">
        <v>20</v>
      </c>
      <c r="E12" s="18">
        <v>0</v>
      </c>
      <c r="F12" s="18">
        <v>1</v>
      </c>
      <c r="G12" s="17">
        <f t="shared" si="0"/>
        <v>620</v>
      </c>
      <c r="H12" s="17">
        <f t="shared" si="1"/>
        <v>31</v>
      </c>
      <c r="I12" s="17">
        <f>G12-H12</f>
        <v>589</v>
      </c>
      <c r="J12" s="17"/>
      <c r="K12" s="19"/>
      <c r="L12" s="17">
        <f>8.8*2</f>
        <v>17.600000000000001</v>
      </c>
      <c r="M12" s="18">
        <v>20</v>
      </c>
      <c r="N12" s="18">
        <v>8</v>
      </c>
      <c r="O12" s="17">
        <f>L12*M12</f>
        <v>352</v>
      </c>
      <c r="P12" s="17">
        <f>L12*(E12+N12+F12)</f>
        <v>158.4</v>
      </c>
      <c r="Q12" s="17">
        <f>O12-P12</f>
        <v>193.6</v>
      </c>
      <c r="R12" s="16" t="s">
        <v>26</v>
      </c>
      <c r="S12" s="8"/>
      <c r="T12" s="8"/>
    </row>
    <row r="13" spans="1:20">
      <c r="A13" s="16" t="s">
        <v>27</v>
      </c>
      <c r="B13" s="17">
        <v>31</v>
      </c>
      <c r="C13" s="17">
        <v>20</v>
      </c>
      <c r="D13" s="18">
        <v>20</v>
      </c>
      <c r="E13" s="18">
        <v>0</v>
      </c>
      <c r="F13" s="18">
        <v>2</v>
      </c>
      <c r="G13" s="17">
        <f t="shared" si="0"/>
        <v>620</v>
      </c>
      <c r="H13" s="17">
        <f t="shared" si="1"/>
        <v>62</v>
      </c>
      <c r="I13" s="17">
        <f>G13-H13+C13</f>
        <v>578</v>
      </c>
      <c r="J13" s="17"/>
      <c r="K13" s="19"/>
      <c r="L13" s="17" t="s">
        <v>14</v>
      </c>
      <c r="M13" s="18">
        <v>20</v>
      </c>
      <c r="N13" s="18">
        <v>0</v>
      </c>
      <c r="O13" s="17" t="s">
        <v>14</v>
      </c>
      <c r="P13" s="17" t="s">
        <v>14</v>
      </c>
      <c r="Q13" s="17" t="s">
        <v>14</v>
      </c>
      <c r="R13" s="16" t="s">
        <v>22</v>
      </c>
      <c r="S13" s="8"/>
      <c r="T13" s="8"/>
    </row>
    <row r="14" spans="1:20">
      <c r="A14" s="16" t="s">
        <v>28</v>
      </c>
      <c r="B14" s="17">
        <v>31</v>
      </c>
      <c r="C14" s="17" t="s">
        <v>14</v>
      </c>
      <c r="D14" s="18">
        <v>20</v>
      </c>
      <c r="E14" s="18">
        <v>0</v>
      </c>
      <c r="F14" s="18">
        <v>0</v>
      </c>
      <c r="G14" s="17">
        <f t="shared" si="0"/>
        <v>620</v>
      </c>
      <c r="H14" s="17">
        <f t="shared" si="1"/>
        <v>0</v>
      </c>
      <c r="I14" s="17">
        <f t="shared" ref="I14:I39" si="2">G14-H14</f>
        <v>620</v>
      </c>
      <c r="J14" s="17"/>
      <c r="K14" s="19"/>
      <c r="L14" s="17">
        <f>5.3*2</f>
        <v>10.6</v>
      </c>
      <c r="M14" s="18">
        <v>20</v>
      </c>
      <c r="N14" s="18">
        <v>8</v>
      </c>
      <c r="O14" s="17">
        <f>L14*M14</f>
        <v>212</v>
      </c>
      <c r="P14" s="17">
        <f>L14*(E14+N14+F14)</f>
        <v>84.8</v>
      </c>
      <c r="Q14" s="17">
        <f>O14-P14</f>
        <v>127.2</v>
      </c>
      <c r="R14" s="16" t="s">
        <v>24</v>
      </c>
      <c r="S14" s="8"/>
      <c r="T14" s="8"/>
    </row>
    <row r="15" spans="1:20">
      <c r="A15" s="16" t="s">
        <v>29</v>
      </c>
      <c r="B15" s="17">
        <v>31</v>
      </c>
      <c r="C15" s="17" t="s">
        <v>14</v>
      </c>
      <c r="D15" s="18">
        <v>20</v>
      </c>
      <c r="E15" s="18">
        <v>0</v>
      </c>
      <c r="F15" s="18">
        <v>0</v>
      </c>
      <c r="G15" s="17">
        <f t="shared" si="0"/>
        <v>620</v>
      </c>
      <c r="H15" s="17">
        <f t="shared" si="1"/>
        <v>0</v>
      </c>
      <c r="I15" s="17">
        <f t="shared" si="2"/>
        <v>620</v>
      </c>
      <c r="J15" s="17"/>
      <c r="K15" s="19"/>
      <c r="L15" s="17">
        <f>5.3*2</f>
        <v>10.6</v>
      </c>
      <c r="M15" s="18">
        <v>20</v>
      </c>
      <c r="N15" s="18">
        <v>8</v>
      </c>
      <c r="O15" s="17">
        <f>L15*M15</f>
        <v>212</v>
      </c>
      <c r="P15" s="17">
        <f>L15*(E15+N15+F15)</f>
        <v>84.8</v>
      </c>
      <c r="Q15" s="17">
        <f>O15-P15</f>
        <v>127.2</v>
      </c>
      <c r="R15" s="16" t="s">
        <v>17</v>
      </c>
      <c r="S15" s="8"/>
      <c r="T15" s="8"/>
    </row>
    <row r="16" spans="1:20">
      <c r="A16" s="16" t="s">
        <v>30</v>
      </c>
      <c r="B16" s="17">
        <v>31</v>
      </c>
      <c r="C16" s="17" t="s">
        <v>14</v>
      </c>
      <c r="D16" s="18">
        <v>20</v>
      </c>
      <c r="E16" s="18">
        <v>0</v>
      </c>
      <c r="F16" s="18">
        <v>0</v>
      </c>
      <c r="G16" s="17">
        <f t="shared" si="0"/>
        <v>620</v>
      </c>
      <c r="H16" s="17">
        <f t="shared" si="1"/>
        <v>0</v>
      </c>
      <c r="I16" s="17">
        <f t="shared" si="2"/>
        <v>620</v>
      </c>
      <c r="J16" s="17"/>
      <c r="K16" s="19"/>
      <c r="L16" s="17" t="s">
        <v>14</v>
      </c>
      <c r="M16" s="18">
        <v>20</v>
      </c>
      <c r="N16" s="18">
        <v>0</v>
      </c>
      <c r="O16" s="17" t="s">
        <v>14</v>
      </c>
      <c r="P16" s="17" t="s">
        <v>14</v>
      </c>
      <c r="Q16" s="17" t="s">
        <v>14</v>
      </c>
      <c r="R16" s="16" t="s">
        <v>15</v>
      </c>
      <c r="S16" s="8"/>
      <c r="T16" s="8"/>
    </row>
    <row r="17" spans="1:20">
      <c r="A17" s="16" t="s">
        <v>31</v>
      </c>
      <c r="B17" s="17">
        <v>31</v>
      </c>
      <c r="C17" s="17" t="s">
        <v>14</v>
      </c>
      <c r="D17" s="18">
        <v>20</v>
      </c>
      <c r="E17" s="18">
        <v>0</v>
      </c>
      <c r="F17" s="18">
        <v>0</v>
      </c>
      <c r="G17" s="17">
        <f t="shared" si="0"/>
        <v>620</v>
      </c>
      <c r="H17" s="17">
        <f t="shared" si="1"/>
        <v>0</v>
      </c>
      <c r="I17" s="17">
        <f t="shared" si="2"/>
        <v>620</v>
      </c>
      <c r="J17" s="17"/>
      <c r="K17" s="19"/>
      <c r="L17" s="17">
        <f>5.3*2</f>
        <v>10.6</v>
      </c>
      <c r="M17" s="18">
        <v>20</v>
      </c>
      <c r="N17" s="18">
        <v>8</v>
      </c>
      <c r="O17" s="17">
        <f>L17*M17</f>
        <v>212</v>
      </c>
      <c r="P17" s="17">
        <f>L17*(E17+N17+F17)</f>
        <v>84.8</v>
      </c>
      <c r="Q17" s="17">
        <f>O17-P17</f>
        <v>127.2</v>
      </c>
      <c r="R17" s="16" t="s">
        <v>17</v>
      </c>
      <c r="S17" s="8"/>
      <c r="T17" s="8"/>
    </row>
    <row r="18" spans="1:20">
      <c r="A18" s="16" t="s">
        <v>32</v>
      </c>
      <c r="B18" s="17">
        <v>31</v>
      </c>
      <c r="C18" s="17" t="s">
        <v>14</v>
      </c>
      <c r="D18" s="18">
        <v>20</v>
      </c>
      <c r="E18" s="18">
        <v>0</v>
      </c>
      <c r="F18" s="18">
        <v>1</v>
      </c>
      <c r="G18" s="17">
        <f t="shared" si="0"/>
        <v>620</v>
      </c>
      <c r="H18" s="17">
        <f t="shared" si="1"/>
        <v>31</v>
      </c>
      <c r="I18" s="17">
        <f t="shared" si="2"/>
        <v>589</v>
      </c>
      <c r="J18" s="17"/>
      <c r="K18" s="19"/>
      <c r="L18" s="17">
        <f>5.3*2</f>
        <v>10.6</v>
      </c>
      <c r="M18" s="18">
        <v>20</v>
      </c>
      <c r="N18" s="18">
        <v>8</v>
      </c>
      <c r="O18" s="17">
        <f>L18*M18</f>
        <v>212</v>
      </c>
      <c r="P18" s="17">
        <f>L18*(E18+N18+F18)</f>
        <v>95.399999999999991</v>
      </c>
      <c r="Q18" s="17">
        <f>O18-P18</f>
        <v>116.60000000000001</v>
      </c>
      <c r="R18" s="16" t="s">
        <v>24</v>
      </c>
      <c r="S18" s="8"/>
      <c r="T18" s="8"/>
    </row>
    <row r="19" spans="1:20">
      <c r="A19" s="16" t="s">
        <v>33</v>
      </c>
      <c r="B19" s="17">
        <v>31</v>
      </c>
      <c r="C19" s="17" t="s">
        <v>14</v>
      </c>
      <c r="D19" s="18">
        <v>20</v>
      </c>
      <c r="E19" s="18">
        <v>0</v>
      </c>
      <c r="F19" s="18">
        <v>0</v>
      </c>
      <c r="G19" s="17">
        <f t="shared" si="0"/>
        <v>620</v>
      </c>
      <c r="H19" s="17">
        <f t="shared" si="1"/>
        <v>0</v>
      </c>
      <c r="I19" s="17">
        <f t="shared" si="2"/>
        <v>620</v>
      </c>
      <c r="J19" s="17"/>
      <c r="K19" s="19"/>
      <c r="L19" s="17">
        <f>5.3*2</f>
        <v>10.6</v>
      </c>
      <c r="M19" s="18">
        <v>20</v>
      </c>
      <c r="N19" s="18">
        <v>8</v>
      </c>
      <c r="O19" s="17">
        <f>L19*M19</f>
        <v>212</v>
      </c>
      <c r="P19" s="17">
        <f>L19*(E19+N19+F19)</f>
        <v>84.8</v>
      </c>
      <c r="Q19" s="17">
        <f>O19-P19</f>
        <v>127.2</v>
      </c>
      <c r="R19" s="16" t="s">
        <v>17</v>
      </c>
      <c r="S19" s="8"/>
      <c r="T19" s="8"/>
    </row>
    <row r="20" spans="1:20">
      <c r="A20" s="16" t="s">
        <v>34</v>
      </c>
      <c r="B20" s="17">
        <v>31</v>
      </c>
      <c r="C20" s="17" t="s">
        <v>14</v>
      </c>
      <c r="D20" s="18">
        <v>20</v>
      </c>
      <c r="E20" s="18">
        <v>0</v>
      </c>
      <c r="F20" s="18">
        <v>0</v>
      </c>
      <c r="G20" s="17">
        <f t="shared" si="0"/>
        <v>620</v>
      </c>
      <c r="H20" s="17">
        <f t="shared" si="1"/>
        <v>0</v>
      </c>
      <c r="I20" s="17">
        <f t="shared" si="2"/>
        <v>620</v>
      </c>
      <c r="J20" s="17"/>
      <c r="K20" s="19"/>
      <c r="L20" s="17" t="s">
        <v>14</v>
      </c>
      <c r="M20" s="18">
        <v>20</v>
      </c>
      <c r="N20" s="18">
        <v>0</v>
      </c>
      <c r="O20" s="17" t="s">
        <v>14</v>
      </c>
      <c r="P20" s="17" t="s">
        <v>14</v>
      </c>
      <c r="Q20" s="17" t="s">
        <v>14</v>
      </c>
      <c r="R20" s="16" t="s">
        <v>15</v>
      </c>
      <c r="S20" s="8"/>
      <c r="T20" s="8"/>
    </row>
    <row r="21" spans="1:20">
      <c r="A21" s="16" t="s">
        <v>35</v>
      </c>
      <c r="B21" s="17">
        <v>31</v>
      </c>
      <c r="C21" s="17" t="s">
        <v>14</v>
      </c>
      <c r="D21" s="18">
        <v>20</v>
      </c>
      <c r="E21" s="18">
        <v>0</v>
      </c>
      <c r="F21" s="18">
        <v>0</v>
      </c>
      <c r="G21" s="17">
        <f t="shared" si="0"/>
        <v>620</v>
      </c>
      <c r="H21" s="17">
        <f t="shared" si="1"/>
        <v>0</v>
      </c>
      <c r="I21" s="17">
        <f t="shared" si="2"/>
        <v>620</v>
      </c>
      <c r="J21" s="17"/>
      <c r="K21" s="19"/>
      <c r="L21" s="17">
        <f>(5+4.8)*2</f>
        <v>19.600000000000001</v>
      </c>
      <c r="M21" s="18">
        <v>20</v>
      </c>
      <c r="N21" s="18">
        <v>8</v>
      </c>
      <c r="O21" s="17">
        <f t="shared" ref="O21:O25" si="3">L21*M21</f>
        <v>392</v>
      </c>
      <c r="P21" s="17">
        <f>L21*(E21+N21+F21)</f>
        <v>156.80000000000001</v>
      </c>
      <c r="Q21" s="17">
        <f t="shared" ref="Q21:Q25" si="4">O21-P21</f>
        <v>235.2</v>
      </c>
      <c r="R21" s="16" t="s">
        <v>17</v>
      </c>
      <c r="S21" s="8"/>
      <c r="T21" s="8"/>
    </row>
    <row r="22" spans="1:20">
      <c r="A22" s="16" t="s">
        <v>36</v>
      </c>
      <c r="B22" s="17">
        <v>31</v>
      </c>
      <c r="C22" s="17" t="s">
        <v>14</v>
      </c>
      <c r="D22" s="18">
        <v>20</v>
      </c>
      <c r="E22" s="18">
        <v>0</v>
      </c>
      <c r="F22" s="18">
        <v>0</v>
      </c>
      <c r="G22" s="17">
        <f t="shared" si="0"/>
        <v>620</v>
      </c>
      <c r="H22" s="17">
        <f t="shared" si="1"/>
        <v>0</v>
      </c>
      <c r="I22" s="17">
        <f t="shared" si="2"/>
        <v>620</v>
      </c>
      <c r="J22" s="17"/>
      <c r="K22" s="19"/>
      <c r="L22" s="17">
        <f>5.3*2</f>
        <v>10.6</v>
      </c>
      <c r="M22" s="18">
        <v>20</v>
      </c>
      <c r="N22" s="18">
        <v>8</v>
      </c>
      <c r="O22" s="17">
        <f t="shared" si="3"/>
        <v>212</v>
      </c>
      <c r="P22" s="17">
        <f>L22*(E22+N22+F22)</f>
        <v>84.8</v>
      </c>
      <c r="Q22" s="17">
        <f t="shared" si="4"/>
        <v>127.2</v>
      </c>
      <c r="R22" s="16" t="s">
        <v>24</v>
      </c>
      <c r="S22" s="8"/>
      <c r="T22" s="8"/>
    </row>
    <row r="23" spans="1:20">
      <c r="A23" s="16" t="s">
        <v>37</v>
      </c>
      <c r="B23" s="17">
        <v>31</v>
      </c>
      <c r="C23" s="17" t="s">
        <v>14</v>
      </c>
      <c r="D23" s="18">
        <v>20</v>
      </c>
      <c r="E23" s="18">
        <v>0</v>
      </c>
      <c r="F23" s="18">
        <v>0</v>
      </c>
      <c r="G23" s="17">
        <f t="shared" si="0"/>
        <v>620</v>
      </c>
      <c r="H23" s="17">
        <f t="shared" si="1"/>
        <v>0</v>
      </c>
      <c r="I23" s="17">
        <f t="shared" si="2"/>
        <v>620</v>
      </c>
      <c r="J23" s="17"/>
      <c r="K23" s="19"/>
      <c r="L23" s="17" t="s">
        <v>14</v>
      </c>
      <c r="M23" s="18">
        <v>20</v>
      </c>
      <c r="N23" s="18">
        <v>0</v>
      </c>
      <c r="O23" s="17" t="s">
        <v>14</v>
      </c>
      <c r="P23" s="17" t="s">
        <v>14</v>
      </c>
      <c r="Q23" s="17" t="s">
        <v>14</v>
      </c>
      <c r="R23" s="16" t="s">
        <v>15</v>
      </c>
      <c r="S23" s="8"/>
      <c r="T23" s="8"/>
    </row>
    <row r="24" spans="1:20">
      <c r="A24" s="16" t="s">
        <v>38</v>
      </c>
      <c r="B24" s="17">
        <v>31</v>
      </c>
      <c r="C24" s="17" t="s">
        <v>14</v>
      </c>
      <c r="D24" s="18">
        <v>20</v>
      </c>
      <c r="E24" s="18">
        <v>0</v>
      </c>
      <c r="F24" s="18">
        <v>0</v>
      </c>
      <c r="G24" s="17">
        <f t="shared" si="0"/>
        <v>620</v>
      </c>
      <c r="H24" s="17">
        <f t="shared" si="1"/>
        <v>0</v>
      </c>
      <c r="I24" s="17">
        <f t="shared" si="2"/>
        <v>620</v>
      </c>
      <c r="J24" s="17"/>
      <c r="K24" s="19"/>
      <c r="L24" s="17">
        <f>8.8*2</f>
        <v>17.600000000000001</v>
      </c>
      <c r="M24" s="18">
        <v>20</v>
      </c>
      <c r="N24" s="18">
        <v>8</v>
      </c>
      <c r="O24" s="17">
        <f t="shared" si="3"/>
        <v>352</v>
      </c>
      <c r="P24" s="17">
        <f>L24*(E24+N24+F24)</f>
        <v>140.80000000000001</v>
      </c>
      <c r="Q24" s="17">
        <f t="shared" si="4"/>
        <v>211.2</v>
      </c>
      <c r="R24" s="16" t="s">
        <v>17</v>
      </c>
      <c r="S24" s="8"/>
      <c r="T24" s="8"/>
    </row>
    <row r="25" spans="1:20">
      <c r="A25" s="16" t="s">
        <v>39</v>
      </c>
      <c r="B25" s="17">
        <v>31</v>
      </c>
      <c r="C25" s="17" t="s">
        <v>14</v>
      </c>
      <c r="D25" s="18">
        <v>20</v>
      </c>
      <c r="E25" s="18">
        <v>0</v>
      </c>
      <c r="F25" s="18">
        <v>0</v>
      </c>
      <c r="G25" s="17">
        <f t="shared" si="0"/>
        <v>620</v>
      </c>
      <c r="H25" s="17">
        <f t="shared" si="1"/>
        <v>0</v>
      </c>
      <c r="I25" s="17">
        <f t="shared" si="2"/>
        <v>620</v>
      </c>
      <c r="J25" s="17"/>
      <c r="K25" s="19"/>
      <c r="L25" s="17">
        <f>5.3*2</f>
        <v>10.6</v>
      </c>
      <c r="M25" s="18">
        <v>20</v>
      </c>
      <c r="N25" s="18">
        <v>8</v>
      </c>
      <c r="O25" s="17">
        <f t="shared" si="3"/>
        <v>212</v>
      </c>
      <c r="P25" s="17">
        <f>L25*(E25+N25+F25)</f>
        <v>84.8</v>
      </c>
      <c r="Q25" s="17">
        <f t="shared" si="4"/>
        <v>127.2</v>
      </c>
      <c r="R25" s="16" t="s">
        <v>24</v>
      </c>
      <c r="S25" s="8"/>
      <c r="T25" s="8"/>
    </row>
    <row r="26" spans="1:20">
      <c r="A26" s="16" t="s">
        <v>40</v>
      </c>
      <c r="B26" s="17">
        <v>31</v>
      </c>
      <c r="C26" s="17" t="s">
        <v>14</v>
      </c>
      <c r="D26" s="18">
        <v>20</v>
      </c>
      <c r="E26" s="18">
        <v>0</v>
      </c>
      <c r="F26" s="18">
        <v>0</v>
      </c>
      <c r="G26" s="17">
        <f t="shared" si="0"/>
        <v>620</v>
      </c>
      <c r="H26" s="17">
        <f t="shared" si="1"/>
        <v>0</v>
      </c>
      <c r="I26" s="17">
        <f t="shared" si="2"/>
        <v>620</v>
      </c>
      <c r="J26" s="17"/>
      <c r="K26" s="19"/>
      <c r="L26" s="17" t="s">
        <v>14</v>
      </c>
      <c r="M26" s="18">
        <v>20</v>
      </c>
      <c r="N26" s="18">
        <v>0</v>
      </c>
      <c r="O26" s="17" t="s">
        <v>14</v>
      </c>
      <c r="P26" s="17" t="s">
        <v>14</v>
      </c>
      <c r="Q26" s="17" t="s">
        <v>14</v>
      </c>
      <c r="R26" s="16" t="s">
        <v>15</v>
      </c>
      <c r="S26" s="8"/>
      <c r="T26" s="8"/>
    </row>
    <row r="27" spans="1:20">
      <c r="A27" s="16" t="s">
        <v>41</v>
      </c>
      <c r="B27" s="17">
        <v>31</v>
      </c>
      <c r="C27" s="17" t="s">
        <v>14</v>
      </c>
      <c r="D27" s="18">
        <v>20</v>
      </c>
      <c r="E27" s="18">
        <v>0</v>
      </c>
      <c r="F27" s="18">
        <v>0</v>
      </c>
      <c r="G27" s="17">
        <f t="shared" si="0"/>
        <v>620</v>
      </c>
      <c r="H27" s="17">
        <f t="shared" si="1"/>
        <v>0</v>
      </c>
      <c r="I27" s="17">
        <f t="shared" si="2"/>
        <v>620</v>
      </c>
      <c r="J27" s="17"/>
      <c r="K27" s="19"/>
      <c r="L27" s="17">
        <f>10.3*2</f>
        <v>20.6</v>
      </c>
      <c r="M27" s="18">
        <v>20</v>
      </c>
      <c r="N27" s="18">
        <v>8</v>
      </c>
      <c r="O27" s="17">
        <f t="shared" ref="O27" si="5">L27*M27</f>
        <v>412</v>
      </c>
      <c r="P27" s="17">
        <f>L27*(E27+N27+F27)</f>
        <v>164.8</v>
      </c>
      <c r="Q27" s="17">
        <f t="shared" ref="Q27" si="6">O27-P27</f>
        <v>247.2</v>
      </c>
      <c r="R27" s="16" t="s">
        <v>26</v>
      </c>
      <c r="S27" s="8"/>
      <c r="T27" s="8"/>
    </row>
    <row r="28" spans="1:20" ht="14.25" customHeight="1">
      <c r="A28" s="16" t="s">
        <v>42</v>
      </c>
      <c r="B28" s="17">
        <v>31</v>
      </c>
      <c r="C28" s="17" t="s">
        <v>14</v>
      </c>
      <c r="D28" s="18">
        <v>20</v>
      </c>
      <c r="E28" s="18">
        <v>0</v>
      </c>
      <c r="F28" s="18">
        <v>0</v>
      </c>
      <c r="G28" s="17">
        <f t="shared" si="0"/>
        <v>620</v>
      </c>
      <c r="H28" s="17">
        <f t="shared" si="1"/>
        <v>0</v>
      </c>
      <c r="I28" s="17">
        <f t="shared" si="2"/>
        <v>620</v>
      </c>
      <c r="J28" s="17"/>
      <c r="K28" s="19"/>
      <c r="L28" s="17">
        <f>5.3*2</f>
        <v>10.6</v>
      </c>
      <c r="M28" s="18">
        <v>20</v>
      </c>
      <c r="N28" s="18">
        <v>8</v>
      </c>
      <c r="O28" s="17">
        <f t="shared" ref="O28:O37" si="7">L28*M28</f>
        <v>212</v>
      </c>
      <c r="P28" s="17">
        <f t="shared" ref="P28:P35" si="8">L28*(E28+N28+F28)</f>
        <v>84.8</v>
      </c>
      <c r="Q28" s="17">
        <f t="shared" ref="Q28:Q37" si="9">O28-P28</f>
        <v>127.2</v>
      </c>
      <c r="R28" s="16" t="s">
        <v>24</v>
      </c>
      <c r="S28" s="8"/>
      <c r="T28" s="8"/>
    </row>
    <row r="29" spans="1:20" ht="14.25" customHeight="1">
      <c r="A29" s="16" t="s">
        <v>43</v>
      </c>
      <c r="B29" s="17">
        <v>31</v>
      </c>
      <c r="C29" s="17" t="s">
        <v>14</v>
      </c>
      <c r="D29" s="18">
        <v>20</v>
      </c>
      <c r="E29" s="18">
        <v>0</v>
      </c>
      <c r="F29" s="18">
        <v>0</v>
      </c>
      <c r="G29" s="17">
        <f t="shared" si="0"/>
        <v>620</v>
      </c>
      <c r="H29" s="17">
        <f t="shared" si="1"/>
        <v>0</v>
      </c>
      <c r="I29" s="17">
        <f t="shared" si="2"/>
        <v>620</v>
      </c>
      <c r="J29" s="17"/>
      <c r="K29" s="19"/>
      <c r="L29" s="17">
        <f>(7.1+5)*2</f>
        <v>24.2</v>
      </c>
      <c r="M29" s="18">
        <v>0</v>
      </c>
      <c r="N29" s="18">
        <v>0</v>
      </c>
      <c r="O29" s="17">
        <f t="shared" si="7"/>
        <v>0</v>
      </c>
      <c r="P29" s="17">
        <f t="shared" si="8"/>
        <v>0</v>
      </c>
      <c r="Q29" s="17">
        <f t="shared" si="9"/>
        <v>0</v>
      </c>
      <c r="R29" s="16" t="s">
        <v>26</v>
      </c>
      <c r="S29" s="8"/>
      <c r="T29" s="8"/>
    </row>
    <row r="30" spans="1:20" ht="14.25" customHeight="1">
      <c r="A30" s="16" t="s">
        <v>44</v>
      </c>
      <c r="B30" s="17">
        <v>31</v>
      </c>
      <c r="C30" s="17" t="s">
        <v>14</v>
      </c>
      <c r="D30" s="18">
        <v>20</v>
      </c>
      <c r="E30" s="18">
        <v>0</v>
      </c>
      <c r="F30" s="18">
        <v>0</v>
      </c>
      <c r="G30" s="17">
        <f t="shared" si="0"/>
        <v>620</v>
      </c>
      <c r="H30" s="17">
        <f t="shared" si="1"/>
        <v>0</v>
      </c>
      <c r="I30" s="17">
        <f t="shared" si="2"/>
        <v>620</v>
      </c>
      <c r="J30" s="17"/>
      <c r="K30" s="19"/>
      <c r="L30" s="17">
        <f>5.3*2</f>
        <v>10.6</v>
      </c>
      <c r="M30" s="18">
        <v>20</v>
      </c>
      <c r="N30" s="18">
        <v>8</v>
      </c>
      <c r="O30" s="17">
        <f t="shared" si="7"/>
        <v>212</v>
      </c>
      <c r="P30" s="17">
        <f t="shared" si="8"/>
        <v>84.8</v>
      </c>
      <c r="Q30" s="17">
        <f t="shared" si="9"/>
        <v>127.2</v>
      </c>
      <c r="R30" s="16" t="s">
        <v>17</v>
      </c>
      <c r="S30" s="8"/>
      <c r="T30" s="8"/>
    </row>
    <row r="31" spans="1:20" ht="14.25" customHeight="1">
      <c r="A31" s="16" t="s">
        <v>45</v>
      </c>
      <c r="B31" s="17">
        <v>31</v>
      </c>
      <c r="C31" s="17" t="s">
        <v>14</v>
      </c>
      <c r="D31" s="18">
        <v>20</v>
      </c>
      <c r="E31" s="18">
        <v>0</v>
      </c>
      <c r="F31" s="18">
        <v>0</v>
      </c>
      <c r="G31" s="17">
        <f t="shared" si="0"/>
        <v>620</v>
      </c>
      <c r="H31" s="17">
        <f t="shared" si="1"/>
        <v>0</v>
      </c>
      <c r="I31" s="17">
        <f t="shared" si="2"/>
        <v>620</v>
      </c>
      <c r="J31" s="17"/>
      <c r="K31" s="19"/>
      <c r="L31" s="17">
        <f>5.3*2</f>
        <v>10.6</v>
      </c>
      <c r="M31" s="18">
        <v>20</v>
      </c>
      <c r="N31" s="18">
        <v>8</v>
      </c>
      <c r="O31" s="17">
        <f t="shared" si="7"/>
        <v>212</v>
      </c>
      <c r="P31" s="17">
        <f t="shared" si="8"/>
        <v>84.8</v>
      </c>
      <c r="Q31" s="17">
        <f t="shared" si="9"/>
        <v>127.2</v>
      </c>
      <c r="R31" s="16" t="s">
        <v>17</v>
      </c>
      <c r="S31" s="8"/>
      <c r="T31" s="8"/>
    </row>
    <row r="32" spans="1:20" ht="14.25" customHeight="1">
      <c r="A32" s="16" t="s">
        <v>46</v>
      </c>
      <c r="B32" s="17">
        <v>31</v>
      </c>
      <c r="C32" s="17" t="s">
        <v>14</v>
      </c>
      <c r="D32" s="18">
        <v>20</v>
      </c>
      <c r="E32" s="18">
        <v>0</v>
      </c>
      <c r="F32" s="18">
        <v>0</v>
      </c>
      <c r="G32" s="17">
        <f t="shared" si="0"/>
        <v>620</v>
      </c>
      <c r="H32" s="17">
        <f t="shared" si="1"/>
        <v>0</v>
      </c>
      <c r="I32" s="17">
        <f t="shared" si="2"/>
        <v>620</v>
      </c>
      <c r="J32" s="17"/>
      <c r="K32" s="19"/>
      <c r="L32" s="17">
        <f>5.3*2</f>
        <v>10.6</v>
      </c>
      <c r="M32" s="18">
        <v>24</v>
      </c>
      <c r="N32" s="18">
        <v>0</v>
      </c>
      <c r="O32" s="17">
        <f t="shared" si="7"/>
        <v>254.39999999999998</v>
      </c>
      <c r="P32" s="17">
        <f t="shared" si="8"/>
        <v>0</v>
      </c>
      <c r="Q32" s="17">
        <f t="shared" si="9"/>
        <v>254.39999999999998</v>
      </c>
      <c r="R32" s="16" t="s">
        <v>24</v>
      </c>
      <c r="S32" s="8"/>
      <c r="T32" s="8"/>
    </row>
    <row r="33" spans="1:20" ht="14.25" customHeight="1">
      <c r="A33" s="16" t="s">
        <v>47</v>
      </c>
      <c r="B33" s="17">
        <v>31</v>
      </c>
      <c r="C33" s="17" t="s">
        <v>14</v>
      </c>
      <c r="D33" s="18">
        <v>20</v>
      </c>
      <c r="E33" s="18">
        <v>0</v>
      </c>
      <c r="F33" s="18">
        <v>0</v>
      </c>
      <c r="G33" s="17">
        <f t="shared" si="0"/>
        <v>620</v>
      </c>
      <c r="H33" s="17">
        <f t="shared" si="1"/>
        <v>0</v>
      </c>
      <c r="I33" s="17">
        <f t="shared" si="2"/>
        <v>620</v>
      </c>
      <c r="J33" s="17"/>
      <c r="K33" s="19"/>
      <c r="L33" s="17">
        <f>5.3*2</f>
        <v>10.6</v>
      </c>
      <c r="M33" s="18">
        <v>20</v>
      </c>
      <c r="N33" s="18">
        <v>8</v>
      </c>
      <c r="O33" s="17">
        <f t="shared" si="7"/>
        <v>212</v>
      </c>
      <c r="P33" s="17">
        <f t="shared" si="8"/>
        <v>84.8</v>
      </c>
      <c r="Q33" s="17">
        <f t="shared" si="9"/>
        <v>127.2</v>
      </c>
      <c r="R33" s="16" t="s">
        <v>24</v>
      </c>
      <c r="S33" s="8"/>
      <c r="T33" s="8"/>
    </row>
    <row r="34" spans="1:20">
      <c r="A34" s="16" t="s">
        <v>48</v>
      </c>
      <c r="B34" s="17">
        <v>31</v>
      </c>
      <c r="C34" s="17" t="s">
        <v>14</v>
      </c>
      <c r="D34" s="18">
        <v>20</v>
      </c>
      <c r="E34" s="18">
        <v>0</v>
      </c>
      <c r="F34" s="18">
        <v>0</v>
      </c>
      <c r="G34" s="17">
        <f t="shared" si="0"/>
        <v>620</v>
      </c>
      <c r="H34" s="17">
        <f t="shared" si="1"/>
        <v>0</v>
      </c>
      <c r="I34" s="17">
        <f t="shared" si="2"/>
        <v>620</v>
      </c>
      <c r="J34" s="17"/>
      <c r="K34" s="19"/>
      <c r="L34" s="17">
        <f>17.95*2</f>
        <v>35.9</v>
      </c>
      <c r="M34" s="18">
        <v>20</v>
      </c>
      <c r="N34" s="18">
        <v>8</v>
      </c>
      <c r="O34" s="17">
        <f t="shared" si="7"/>
        <v>718</v>
      </c>
      <c r="P34" s="17">
        <f t="shared" si="8"/>
        <v>287.2</v>
      </c>
      <c r="Q34" s="17">
        <f t="shared" si="9"/>
        <v>430.8</v>
      </c>
      <c r="R34" s="16" t="s">
        <v>26</v>
      </c>
      <c r="S34" s="8"/>
      <c r="T34" s="8"/>
    </row>
    <row r="35" spans="1:20">
      <c r="A35" s="16" t="s">
        <v>49</v>
      </c>
      <c r="B35" s="17">
        <v>31</v>
      </c>
      <c r="C35" s="17" t="s">
        <v>14</v>
      </c>
      <c r="D35" s="18">
        <v>20</v>
      </c>
      <c r="E35" s="18">
        <v>0</v>
      </c>
      <c r="F35" s="18">
        <v>0</v>
      </c>
      <c r="G35" s="17">
        <f t="shared" si="0"/>
        <v>620</v>
      </c>
      <c r="H35" s="17">
        <f t="shared" si="1"/>
        <v>0</v>
      </c>
      <c r="I35" s="17">
        <f t="shared" si="2"/>
        <v>620</v>
      </c>
      <c r="J35" s="17"/>
      <c r="K35" s="19"/>
      <c r="L35" s="17">
        <f>5.3*2</f>
        <v>10.6</v>
      </c>
      <c r="M35" s="18">
        <v>0</v>
      </c>
      <c r="N35" s="18">
        <v>0</v>
      </c>
      <c r="O35" s="17">
        <f t="shared" si="7"/>
        <v>0</v>
      </c>
      <c r="P35" s="17">
        <f t="shared" si="8"/>
        <v>0</v>
      </c>
      <c r="Q35" s="17"/>
      <c r="R35" s="16" t="s">
        <v>24</v>
      </c>
      <c r="S35" s="8"/>
      <c r="T35" s="8"/>
    </row>
    <row r="36" spans="1:20">
      <c r="A36" s="16" t="s">
        <v>50</v>
      </c>
      <c r="B36" s="17">
        <v>31</v>
      </c>
      <c r="C36" s="17">
        <v>20</v>
      </c>
      <c r="D36" s="18">
        <v>20</v>
      </c>
      <c r="E36" s="18">
        <v>0</v>
      </c>
      <c r="F36" s="18">
        <v>2</v>
      </c>
      <c r="G36" s="17">
        <f t="shared" si="0"/>
        <v>620</v>
      </c>
      <c r="H36" s="17">
        <f t="shared" si="1"/>
        <v>62</v>
      </c>
      <c r="I36" s="17">
        <f>G36-H36+C36</f>
        <v>578</v>
      </c>
      <c r="J36" s="17"/>
      <c r="K36" s="19"/>
      <c r="L36" s="17" t="s">
        <v>14</v>
      </c>
      <c r="M36" s="18">
        <v>20</v>
      </c>
      <c r="N36" s="18">
        <v>0</v>
      </c>
      <c r="O36" s="17" t="s">
        <v>14</v>
      </c>
      <c r="P36" s="17" t="s">
        <v>14</v>
      </c>
      <c r="Q36" s="17" t="s">
        <v>14</v>
      </c>
      <c r="R36" s="16" t="s">
        <v>22</v>
      </c>
      <c r="S36" s="8"/>
      <c r="T36" s="8"/>
    </row>
    <row r="37" spans="1:20">
      <c r="A37" s="16" t="s">
        <v>51</v>
      </c>
      <c r="B37" s="17">
        <v>31</v>
      </c>
      <c r="C37" s="17" t="s">
        <v>14</v>
      </c>
      <c r="D37" s="18">
        <v>20</v>
      </c>
      <c r="E37" s="18">
        <v>0</v>
      </c>
      <c r="F37" s="18">
        <v>0</v>
      </c>
      <c r="G37" s="17">
        <f t="shared" si="0"/>
        <v>620</v>
      </c>
      <c r="H37" s="17">
        <f t="shared" si="1"/>
        <v>0</v>
      </c>
      <c r="I37" s="17">
        <f t="shared" si="2"/>
        <v>620</v>
      </c>
      <c r="J37" s="17"/>
      <c r="K37" s="19"/>
      <c r="L37" s="17">
        <f>5.3*2</f>
        <v>10.6</v>
      </c>
      <c r="M37" s="18">
        <v>20</v>
      </c>
      <c r="N37" s="18">
        <v>8</v>
      </c>
      <c r="O37" s="17">
        <f t="shared" si="7"/>
        <v>212</v>
      </c>
      <c r="P37" s="17">
        <f>L37*(E37+N37+F37)</f>
        <v>84.8</v>
      </c>
      <c r="Q37" s="17">
        <f t="shared" si="9"/>
        <v>127.2</v>
      </c>
      <c r="R37" s="16" t="s">
        <v>17</v>
      </c>
      <c r="S37" s="8"/>
      <c r="T37" s="8"/>
    </row>
    <row r="38" spans="1:20">
      <c r="A38" s="16" t="s">
        <v>52</v>
      </c>
      <c r="B38" s="17" t="s">
        <v>14</v>
      </c>
      <c r="C38" s="17" t="s">
        <v>14</v>
      </c>
      <c r="D38" s="18">
        <v>20</v>
      </c>
      <c r="E38" s="18">
        <v>0</v>
      </c>
      <c r="F38" s="18">
        <v>0</v>
      </c>
      <c r="G38" s="17" t="s">
        <v>14</v>
      </c>
      <c r="H38" s="17" t="s">
        <v>14</v>
      </c>
      <c r="I38" s="17" t="s">
        <v>14</v>
      </c>
      <c r="J38" s="17"/>
      <c r="K38" s="19"/>
      <c r="L38" s="17">
        <f>5.3*2</f>
        <v>10.6</v>
      </c>
      <c r="M38" s="18">
        <v>20</v>
      </c>
      <c r="N38" s="18">
        <v>8</v>
      </c>
      <c r="O38" s="17">
        <f>L38*M38</f>
        <v>212</v>
      </c>
      <c r="P38" s="17">
        <f>L38*(E38+N38+F38)</f>
        <v>84.8</v>
      </c>
      <c r="Q38" s="17">
        <f>O38-P38</f>
        <v>127.2</v>
      </c>
      <c r="R38" s="16" t="s">
        <v>24</v>
      </c>
      <c r="S38" s="8"/>
      <c r="T38" s="8"/>
    </row>
    <row r="39" spans="1:20" ht="14.25" customHeight="1">
      <c r="A39" s="16" t="s">
        <v>53</v>
      </c>
      <c r="B39" s="17">
        <v>31</v>
      </c>
      <c r="C39" s="17" t="s">
        <v>14</v>
      </c>
      <c r="D39" s="18">
        <v>20</v>
      </c>
      <c r="E39" s="18">
        <v>0</v>
      </c>
      <c r="F39" s="18">
        <v>0</v>
      </c>
      <c r="G39" s="17">
        <f t="shared" si="0"/>
        <v>620</v>
      </c>
      <c r="H39" s="17">
        <f t="shared" si="1"/>
        <v>0</v>
      </c>
      <c r="I39" s="17">
        <f t="shared" si="2"/>
        <v>620</v>
      </c>
      <c r="J39" s="17"/>
      <c r="K39" s="19"/>
      <c r="L39" s="17" t="s">
        <v>14</v>
      </c>
      <c r="M39" s="18">
        <v>20</v>
      </c>
      <c r="N39" s="18">
        <v>0</v>
      </c>
      <c r="O39" s="17" t="s">
        <v>14</v>
      </c>
      <c r="P39" s="17" t="s">
        <v>14</v>
      </c>
      <c r="Q39" s="17" t="s">
        <v>14</v>
      </c>
      <c r="R39" s="16" t="s">
        <v>15</v>
      </c>
      <c r="S39" s="8"/>
      <c r="T39" s="8"/>
    </row>
    <row r="40" spans="1:20" ht="4.5" customHeight="1">
      <c r="A40" s="10"/>
      <c r="B40" s="10"/>
      <c r="C40" s="10" t="s">
        <v>14</v>
      </c>
      <c r="D40" s="18"/>
      <c r="E40" s="10"/>
      <c r="F40" s="10"/>
      <c r="G40" s="10"/>
      <c r="H40" s="10"/>
      <c r="J40" s="10"/>
      <c r="K40" s="11"/>
      <c r="L40" s="10"/>
      <c r="M40" s="10"/>
      <c r="N40" s="10"/>
      <c r="O40" s="10"/>
    </row>
    <row r="41" spans="1:20">
      <c r="A41" s="10"/>
      <c r="B41" s="10"/>
      <c r="C41" s="10"/>
      <c r="D41" s="10"/>
      <c r="E41" s="10"/>
      <c r="F41" s="10"/>
      <c r="G41" s="23"/>
      <c r="H41" s="20" t="s">
        <v>54</v>
      </c>
      <c r="I41" s="21">
        <f>SUM(I5:I39)</f>
        <v>20303</v>
      </c>
      <c r="J41" s="23"/>
      <c r="K41" s="24"/>
      <c r="L41" s="23"/>
      <c r="M41" s="23"/>
      <c r="N41" s="23"/>
      <c r="O41" s="36" t="s">
        <v>17</v>
      </c>
      <c r="P41" s="36"/>
      <c r="Q41" s="21">
        <f>Q6+Q8+Q15+Q17+Q19+Q21+Q24+Q30+Q31+Q37</f>
        <v>1646.8000000000002</v>
      </c>
      <c r="R41" s="23"/>
    </row>
    <row r="42" spans="1:20">
      <c r="A42" s="10"/>
      <c r="B42" s="10"/>
      <c r="C42" s="10"/>
      <c r="D42" s="10"/>
      <c r="E42" s="10"/>
      <c r="F42" s="10"/>
      <c r="G42" s="23"/>
      <c r="H42" s="23"/>
      <c r="I42" s="23"/>
      <c r="J42" s="23"/>
      <c r="K42" s="24"/>
      <c r="L42" s="23"/>
      <c r="M42" s="23"/>
      <c r="N42" s="23"/>
      <c r="O42" s="22"/>
      <c r="P42" s="20" t="s">
        <v>24</v>
      </c>
      <c r="Q42" s="21">
        <f>Q11+Q14+Q18+Q22+Q25+Q28+Q32+Q33+Q35+Q38</f>
        <v>1261.4000000000001</v>
      </c>
      <c r="R42" s="26"/>
    </row>
    <row r="43" spans="1:20">
      <c r="A43" s="10"/>
      <c r="B43" s="10"/>
      <c r="C43" s="10"/>
      <c r="D43" s="10"/>
      <c r="E43" s="10"/>
      <c r="F43" s="10"/>
      <c r="G43" s="23"/>
      <c r="H43" s="23"/>
      <c r="I43" s="23"/>
      <c r="J43" s="23"/>
      <c r="K43" s="24"/>
      <c r="L43" s="23"/>
      <c r="M43" s="23"/>
      <c r="N43" s="23"/>
      <c r="O43" s="22"/>
      <c r="P43" s="20" t="s">
        <v>26</v>
      </c>
      <c r="Q43" s="21">
        <f>Q12+Q27+Q29+Q34</f>
        <v>871.59999999999991</v>
      </c>
      <c r="R43" s="23"/>
    </row>
    <row r="44" spans="1:20">
      <c r="A44" s="10"/>
      <c r="B44" s="10"/>
      <c r="C44" s="10"/>
      <c r="D44" s="10"/>
      <c r="E44" s="10"/>
      <c r="F44" s="10"/>
      <c r="G44" s="23"/>
      <c r="H44" s="23"/>
      <c r="I44" s="23"/>
      <c r="J44" s="23"/>
      <c r="K44" s="24"/>
      <c r="L44" s="23"/>
      <c r="M44" s="23"/>
      <c r="N44" s="23"/>
      <c r="O44" s="23"/>
      <c r="P44" s="20" t="s">
        <v>55</v>
      </c>
      <c r="Q44" s="21" t="str">
        <f>Q5</f>
        <v>-</v>
      </c>
      <c r="R44" s="23"/>
    </row>
    <row r="45" spans="1:20">
      <c r="A45" s="10"/>
      <c r="B45" s="10"/>
      <c r="C45" s="10"/>
      <c r="D45" s="10"/>
      <c r="E45" s="10"/>
      <c r="F45" s="10"/>
      <c r="G45" s="23"/>
      <c r="H45" s="23"/>
      <c r="I45" s="23"/>
      <c r="J45" s="23"/>
      <c r="K45" s="24"/>
      <c r="L45" s="23"/>
      <c r="M45" s="23"/>
      <c r="N45" s="23"/>
      <c r="O45" s="23"/>
      <c r="P45" s="23"/>
      <c r="Q45" s="23"/>
      <c r="R45" s="23"/>
    </row>
    <row r="46" spans="1:2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1"/>
      <c r="L46" s="10"/>
      <c r="M46" s="10"/>
      <c r="N46" s="10"/>
      <c r="O46" s="10"/>
      <c r="R46" s="27"/>
    </row>
    <row r="47" spans="1:2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1"/>
      <c r="L47" s="10"/>
      <c r="M47" s="10"/>
      <c r="N47" s="10"/>
      <c r="O47" s="10"/>
    </row>
    <row r="48" spans="1:2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1"/>
      <c r="L48" s="10"/>
      <c r="M48" s="10"/>
      <c r="N48" s="10"/>
      <c r="O48" s="10"/>
    </row>
    <row r="49" spans="1:1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  <c r="L49" s="10"/>
      <c r="M49" s="10"/>
      <c r="N49" s="10"/>
      <c r="O49" s="10"/>
    </row>
    <row r="50" spans="1:1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</sheetData>
  <sheetProtection formatCells="0" insertHyperlinks="0" deleteColumns="0" deleteRows="0" pivotTables="0"/>
  <autoFilter ref="L3:R39" xr:uid="{20202CE6-41A6-4622-91C8-EBE6C461168C}"/>
  <mergeCells count="19">
    <mergeCell ref="F1:I2"/>
    <mergeCell ref="A1:A2"/>
    <mergeCell ref="B3:B4"/>
    <mergeCell ref="D3:D4"/>
    <mergeCell ref="E3:E4"/>
    <mergeCell ref="F3:F4"/>
    <mergeCell ref="A3:A4"/>
    <mergeCell ref="C3:C4"/>
    <mergeCell ref="O41:P41"/>
    <mergeCell ref="I3:I4"/>
    <mergeCell ref="P3:P4"/>
    <mergeCell ref="H3:H4"/>
    <mergeCell ref="G3:G4"/>
    <mergeCell ref="R3:R4"/>
    <mergeCell ref="L3:L4"/>
    <mergeCell ref="M3:M4"/>
    <mergeCell ref="N3:N4"/>
    <mergeCell ref="O3:O4"/>
    <mergeCell ref="Q3:Q4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I1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E832-4546-48F9-B841-B9CBD3FEC0D9}">
  <dimension ref="A1:T38"/>
  <sheetViews>
    <sheetView showGridLines="0" tabSelected="1" zoomScaleNormal="100" workbookViewId="0">
      <pane xSplit="1" ySplit="2" topLeftCell="B8" activePane="bottomRight" state="frozen"/>
      <selection pane="bottomRight" activeCell="A13" sqref="A13:I13"/>
      <selection pane="bottomLeft" activeCell="A3" sqref="A3"/>
      <selection pane="topRight" activeCell="C1" sqref="C1"/>
    </sheetView>
  </sheetViews>
  <sheetFormatPr defaultRowHeight="15"/>
  <cols>
    <col min="1" max="1" width="35.85546875" bestFit="1" customWidth="1"/>
    <col min="2" max="2" width="10.140625" bestFit="1" customWidth="1"/>
    <col min="3" max="3" width="10.140625" customWidth="1"/>
    <col min="4" max="6" width="9.28515625" bestFit="1" customWidth="1"/>
    <col min="7" max="7" width="11.28515625" bestFit="1" customWidth="1"/>
    <col min="8" max="8" width="11.28515625" customWidth="1"/>
    <col min="9" max="9" width="13.140625" bestFit="1" customWidth="1"/>
    <col min="10" max="11" width="2.7109375" customWidth="1"/>
    <col min="12" max="12" width="10.5703125" customWidth="1"/>
    <col min="13" max="14" width="9.28515625" bestFit="1" customWidth="1"/>
    <col min="15" max="16" width="11.28515625" bestFit="1" customWidth="1"/>
    <col min="17" max="17" width="12.28515625" bestFit="1" customWidth="1"/>
    <col min="18" max="18" width="30.7109375" customWidth="1"/>
  </cols>
  <sheetData>
    <row r="1" spans="1:20" ht="18.75">
      <c r="A1" s="38" t="s">
        <v>56</v>
      </c>
      <c r="B1" s="38"/>
      <c r="C1" s="25"/>
      <c r="K1" s="2"/>
    </row>
    <row r="2" spans="1:20" ht="18.75">
      <c r="A2" s="38"/>
      <c r="B2" s="38"/>
      <c r="C2" s="25"/>
      <c r="K2" s="2"/>
    </row>
    <row r="3" spans="1:20">
      <c r="A3" s="41" t="s">
        <v>1</v>
      </c>
      <c r="B3" s="34" t="s">
        <v>2</v>
      </c>
      <c r="C3" s="34" t="s">
        <v>3</v>
      </c>
      <c r="D3" s="34" t="s">
        <v>4</v>
      </c>
      <c r="E3" s="39" t="s">
        <v>5</v>
      </c>
      <c r="F3" s="39" t="s">
        <v>6</v>
      </c>
      <c r="G3" s="34" t="s">
        <v>7</v>
      </c>
      <c r="H3" s="34" t="s">
        <v>8</v>
      </c>
      <c r="I3" s="34" t="s">
        <v>9</v>
      </c>
      <c r="J3" s="4"/>
      <c r="K3" s="6"/>
      <c r="L3" s="34" t="s">
        <v>10</v>
      </c>
      <c r="M3" s="34" t="s">
        <v>4</v>
      </c>
      <c r="N3" s="34" t="s">
        <v>11</v>
      </c>
      <c r="O3" s="34" t="s">
        <v>7</v>
      </c>
      <c r="P3" s="34" t="s">
        <v>8</v>
      </c>
      <c r="Q3" s="34" t="s">
        <v>9</v>
      </c>
      <c r="R3" s="34" t="s">
        <v>12</v>
      </c>
    </row>
    <row r="4" spans="1:20" ht="15" customHeight="1">
      <c r="A4" s="42"/>
      <c r="B4" s="35"/>
      <c r="C4" s="35"/>
      <c r="D4" s="35"/>
      <c r="E4" s="40"/>
      <c r="F4" s="40"/>
      <c r="G4" s="35"/>
      <c r="H4" s="35"/>
      <c r="I4" s="35"/>
      <c r="J4" s="7"/>
      <c r="K4" s="12"/>
      <c r="L4" s="35"/>
      <c r="M4" s="35"/>
      <c r="N4" s="35"/>
      <c r="O4" s="35"/>
      <c r="P4" s="35"/>
      <c r="Q4" s="35"/>
      <c r="R4" s="35"/>
    </row>
    <row r="5" spans="1:20">
      <c r="A5" s="16" t="s">
        <v>57</v>
      </c>
      <c r="B5" s="17">
        <v>31</v>
      </c>
      <c r="C5" s="17" t="s">
        <v>14</v>
      </c>
      <c r="D5" s="18">
        <v>20</v>
      </c>
      <c r="E5" s="18">
        <v>0</v>
      </c>
      <c r="F5" s="18">
        <v>1</v>
      </c>
      <c r="G5" s="17">
        <f>B5*D5</f>
        <v>620</v>
      </c>
      <c r="H5" s="17">
        <f t="shared" ref="H5:H23" si="0">B5*(E5+F5)</f>
        <v>31</v>
      </c>
      <c r="I5" s="17">
        <f t="shared" ref="I5:I11" si="1">G5-H5</f>
        <v>589</v>
      </c>
      <c r="J5" s="17"/>
      <c r="K5" s="19"/>
      <c r="L5" s="17">
        <f>10.1*2</f>
        <v>20.2</v>
      </c>
      <c r="M5" s="18">
        <v>20</v>
      </c>
      <c r="N5" s="18">
        <v>8</v>
      </c>
      <c r="O5" s="17">
        <f>L5*M5</f>
        <v>404</v>
      </c>
      <c r="P5" s="17">
        <f t="shared" ref="P5:P15" si="2">L5*(E5+N5+F5)</f>
        <v>181.79999999999998</v>
      </c>
      <c r="Q5" s="17">
        <f t="shared" ref="Q5" si="3">O5-P5</f>
        <v>222.20000000000002</v>
      </c>
      <c r="R5" s="16" t="s">
        <v>17</v>
      </c>
    </row>
    <row r="6" spans="1:20">
      <c r="A6" s="16" t="s">
        <v>58</v>
      </c>
      <c r="B6" s="17">
        <v>31</v>
      </c>
      <c r="C6" s="17" t="s">
        <v>14</v>
      </c>
      <c r="D6" s="18">
        <v>20</v>
      </c>
      <c r="E6" s="18" t="s">
        <v>14</v>
      </c>
      <c r="F6" s="18" t="s">
        <v>14</v>
      </c>
      <c r="G6" s="17">
        <f>B6*D6</f>
        <v>620</v>
      </c>
      <c r="H6" s="17" t="s">
        <v>14</v>
      </c>
      <c r="I6" s="17">
        <f>G6</f>
        <v>620</v>
      </c>
      <c r="J6" s="17"/>
      <c r="K6" s="19"/>
      <c r="L6" s="17">
        <v>500</v>
      </c>
      <c r="M6" s="18" t="s">
        <v>14</v>
      </c>
      <c r="N6" s="18" t="s">
        <v>14</v>
      </c>
      <c r="O6" s="17" t="s">
        <v>14</v>
      </c>
      <c r="P6" s="17" t="s">
        <v>14</v>
      </c>
      <c r="Q6" s="17">
        <f>L6</f>
        <v>500</v>
      </c>
      <c r="R6" s="16" t="s">
        <v>17</v>
      </c>
    </row>
    <row r="7" spans="1:20">
      <c r="A7" s="16" t="s">
        <v>59</v>
      </c>
      <c r="B7" s="17">
        <v>31</v>
      </c>
      <c r="C7" s="17" t="s">
        <v>14</v>
      </c>
      <c r="D7" s="18">
        <v>20</v>
      </c>
      <c r="E7" s="18">
        <v>0</v>
      </c>
      <c r="F7" s="18">
        <v>0</v>
      </c>
      <c r="G7" s="17">
        <f t="shared" ref="G7:G15" si="4">B7*D7</f>
        <v>620</v>
      </c>
      <c r="H7" s="17">
        <f t="shared" si="0"/>
        <v>0</v>
      </c>
      <c r="I7" s="17">
        <f t="shared" si="1"/>
        <v>620</v>
      </c>
      <c r="J7" s="17"/>
      <c r="K7" s="19"/>
      <c r="L7" s="17">
        <f>(5+5)*2</f>
        <v>20</v>
      </c>
      <c r="M7" s="18">
        <v>0</v>
      </c>
      <c r="N7" s="18">
        <v>8</v>
      </c>
      <c r="O7" s="17">
        <f>L7*M7</f>
        <v>0</v>
      </c>
      <c r="P7" s="17">
        <f t="shared" si="2"/>
        <v>160</v>
      </c>
      <c r="Q7" s="17"/>
      <c r="R7" s="16" t="s">
        <v>26</v>
      </c>
    </row>
    <row r="8" spans="1:20">
      <c r="A8" s="16" t="s">
        <v>60</v>
      </c>
      <c r="B8" s="17">
        <v>0</v>
      </c>
      <c r="C8" s="17"/>
      <c r="D8" s="18">
        <v>20</v>
      </c>
      <c r="E8" s="18">
        <v>0</v>
      </c>
      <c r="F8" s="18">
        <v>0</v>
      </c>
      <c r="G8" s="17">
        <f t="shared" si="4"/>
        <v>0</v>
      </c>
      <c r="H8" s="17">
        <f t="shared" si="0"/>
        <v>0</v>
      </c>
      <c r="I8" s="17">
        <f t="shared" si="1"/>
        <v>0</v>
      </c>
      <c r="J8" s="17"/>
      <c r="K8" s="19"/>
      <c r="L8" s="17">
        <f>0*2</f>
        <v>0</v>
      </c>
      <c r="M8" s="18">
        <v>20</v>
      </c>
      <c r="N8" s="18">
        <v>0</v>
      </c>
      <c r="O8" s="17">
        <f>L8*M8</f>
        <v>0</v>
      </c>
      <c r="P8" s="17">
        <f t="shared" si="2"/>
        <v>0</v>
      </c>
      <c r="Q8" s="17">
        <f t="shared" ref="Q8:Q15" si="5">O8-P8</f>
        <v>0</v>
      </c>
      <c r="R8" s="16" t="s">
        <v>17</v>
      </c>
    </row>
    <row r="9" spans="1:20">
      <c r="A9" s="16" t="s">
        <v>61</v>
      </c>
      <c r="B9" s="17">
        <v>31</v>
      </c>
      <c r="C9" s="17" t="s">
        <v>14</v>
      </c>
      <c r="D9" s="18">
        <v>20</v>
      </c>
      <c r="E9" s="18">
        <v>0</v>
      </c>
      <c r="F9" s="18">
        <v>0</v>
      </c>
      <c r="G9" s="17">
        <f t="shared" si="4"/>
        <v>620</v>
      </c>
      <c r="H9" s="17">
        <f t="shared" si="0"/>
        <v>0</v>
      </c>
      <c r="I9" s="17">
        <f t="shared" si="1"/>
        <v>620</v>
      </c>
      <c r="J9" s="17"/>
      <c r="K9" s="19"/>
      <c r="L9" s="17" t="s">
        <v>14</v>
      </c>
      <c r="M9" s="18"/>
      <c r="N9" s="18">
        <v>0</v>
      </c>
      <c r="O9" s="17" t="s">
        <v>14</v>
      </c>
      <c r="P9" s="17" t="s">
        <v>14</v>
      </c>
      <c r="Q9" s="17" t="s">
        <v>14</v>
      </c>
      <c r="R9" s="16" t="s">
        <v>15</v>
      </c>
    </row>
    <row r="10" spans="1:20">
      <c r="A10" s="16" t="s">
        <v>62</v>
      </c>
      <c r="B10" s="17">
        <v>31</v>
      </c>
      <c r="C10" s="17">
        <v>20</v>
      </c>
      <c r="D10" s="18">
        <v>20</v>
      </c>
      <c r="E10" s="18">
        <v>0</v>
      </c>
      <c r="F10" s="18">
        <v>0</v>
      </c>
      <c r="G10" s="17">
        <f t="shared" si="4"/>
        <v>620</v>
      </c>
      <c r="H10" s="17">
        <f t="shared" si="0"/>
        <v>0</v>
      </c>
      <c r="I10" s="17">
        <f>G10-H10+C10</f>
        <v>640</v>
      </c>
      <c r="J10" s="17"/>
      <c r="K10" s="19"/>
      <c r="L10" s="17">
        <f>4*2</f>
        <v>8</v>
      </c>
      <c r="M10" s="18">
        <v>20</v>
      </c>
      <c r="N10" s="18">
        <v>0</v>
      </c>
      <c r="O10" s="17">
        <f t="shared" ref="O10:O15" si="6">L10*M10</f>
        <v>160</v>
      </c>
      <c r="P10" s="17">
        <f t="shared" si="2"/>
        <v>0</v>
      </c>
      <c r="Q10" s="17">
        <f t="shared" si="5"/>
        <v>160</v>
      </c>
      <c r="R10" s="16" t="s">
        <v>17</v>
      </c>
    </row>
    <row r="11" spans="1:20">
      <c r="A11" s="16" t="s">
        <v>63</v>
      </c>
      <c r="B11" s="17">
        <v>31</v>
      </c>
      <c r="C11" s="17" t="s">
        <v>14</v>
      </c>
      <c r="D11" s="18">
        <v>20</v>
      </c>
      <c r="E11" s="18">
        <v>0</v>
      </c>
      <c r="F11" s="18">
        <v>0</v>
      </c>
      <c r="G11" s="17">
        <f t="shared" si="4"/>
        <v>620</v>
      </c>
      <c r="H11" s="17">
        <f t="shared" si="0"/>
        <v>0</v>
      </c>
      <c r="I11" s="17">
        <f t="shared" si="1"/>
        <v>620</v>
      </c>
      <c r="J11" s="17"/>
      <c r="K11" s="19"/>
      <c r="L11" s="17">
        <f>10.1*2</f>
        <v>20.2</v>
      </c>
      <c r="M11" s="18">
        <v>20</v>
      </c>
      <c r="N11" s="18">
        <v>8</v>
      </c>
      <c r="O11" s="17">
        <f t="shared" si="6"/>
        <v>404</v>
      </c>
      <c r="P11" s="17">
        <f t="shared" si="2"/>
        <v>161.6</v>
      </c>
      <c r="Q11" s="17">
        <f t="shared" si="5"/>
        <v>242.4</v>
      </c>
      <c r="R11" s="16" t="s">
        <v>17</v>
      </c>
    </row>
    <row r="12" spans="1:20">
      <c r="A12" s="16" t="s">
        <v>64</v>
      </c>
      <c r="B12" s="17">
        <v>31</v>
      </c>
      <c r="C12" s="17" t="s">
        <v>14</v>
      </c>
      <c r="D12" s="18">
        <v>20</v>
      </c>
      <c r="E12" s="18">
        <v>0</v>
      </c>
      <c r="F12" s="18">
        <v>1</v>
      </c>
      <c r="G12" s="17">
        <f t="shared" si="4"/>
        <v>620</v>
      </c>
      <c r="H12" s="17">
        <f t="shared" si="0"/>
        <v>31</v>
      </c>
      <c r="I12" s="17">
        <f>G12-H12</f>
        <v>589</v>
      </c>
      <c r="J12" s="17"/>
      <c r="K12" s="19"/>
      <c r="L12" s="17">
        <f>10*2</f>
        <v>20</v>
      </c>
      <c r="M12" s="18" t="s">
        <v>14</v>
      </c>
      <c r="N12" s="18" t="s">
        <v>14</v>
      </c>
      <c r="O12" s="17" t="s">
        <v>14</v>
      </c>
      <c r="P12" s="17" t="s">
        <v>14</v>
      </c>
      <c r="Q12" s="17" t="s">
        <v>14</v>
      </c>
      <c r="R12" s="16" t="s">
        <v>15</v>
      </c>
    </row>
    <row r="13" spans="1:20">
      <c r="A13" s="16" t="s">
        <v>65</v>
      </c>
      <c r="B13" s="17">
        <v>31</v>
      </c>
      <c r="C13" s="17" t="s">
        <v>14</v>
      </c>
      <c r="D13" s="18">
        <v>20</v>
      </c>
      <c r="E13" s="18">
        <v>0</v>
      </c>
      <c r="F13" s="18">
        <v>0</v>
      </c>
      <c r="G13" s="17">
        <f t="shared" si="4"/>
        <v>620</v>
      </c>
      <c r="H13" s="17">
        <f t="shared" si="0"/>
        <v>0</v>
      </c>
      <c r="I13" s="17">
        <f>G13-H13</f>
        <v>620</v>
      </c>
      <c r="J13" s="17"/>
      <c r="K13" s="19"/>
      <c r="L13" s="17">
        <f>12.75*2</f>
        <v>25.5</v>
      </c>
      <c r="M13" s="18">
        <v>20</v>
      </c>
      <c r="N13" s="18">
        <v>0</v>
      </c>
      <c r="O13" s="17">
        <f t="shared" si="6"/>
        <v>510</v>
      </c>
      <c r="P13" s="17">
        <f t="shared" si="2"/>
        <v>0</v>
      </c>
      <c r="Q13" s="17">
        <f>510-149</f>
        <v>361</v>
      </c>
      <c r="R13" s="16" t="s">
        <v>26</v>
      </c>
    </row>
    <row r="14" spans="1:20">
      <c r="A14" s="16" t="s">
        <v>66</v>
      </c>
      <c r="B14" s="17">
        <v>0</v>
      </c>
      <c r="C14" s="17" t="s">
        <v>14</v>
      </c>
      <c r="D14" s="18">
        <v>20</v>
      </c>
      <c r="E14" s="18">
        <v>0</v>
      </c>
      <c r="F14" s="18">
        <v>0</v>
      </c>
      <c r="G14" s="17">
        <f t="shared" si="4"/>
        <v>0</v>
      </c>
      <c r="H14" s="17">
        <f t="shared" si="0"/>
        <v>0</v>
      </c>
      <c r="I14" s="17">
        <f>G14-H14</f>
        <v>0</v>
      </c>
      <c r="J14" s="17"/>
      <c r="K14" s="19"/>
      <c r="L14" s="17">
        <v>10.6</v>
      </c>
      <c r="M14" s="18">
        <v>20</v>
      </c>
      <c r="N14" s="18">
        <v>8</v>
      </c>
      <c r="O14" s="17">
        <f t="shared" si="6"/>
        <v>212</v>
      </c>
      <c r="P14" s="17">
        <f t="shared" si="2"/>
        <v>84.8</v>
      </c>
      <c r="Q14" s="17">
        <f t="shared" si="5"/>
        <v>127.2</v>
      </c>
      <c r="R14" s="16" t="s">
        <v>24</v>
      </c>
    </row>
    <row r="15" spans="1:20">
      <c r="A15" s="16" t="s">
        <v>67</v>
      </c>
      <c r="B15" s="17">
        <v>31</v>
      </c>
      <c r="C15" s="17">
        <v>20</v>
      </c>
      <c r="D15" s="18">
        <v>20</v>
      </c>
      <c r="E15" s="18">
        <v>0</v>
      </c>
      <c r="F15" s="18">
        <v>3</v>
      </c>
      <c r="G15" s="17">
        <f t="shared" si="4"/>
        <v>620</v>
      </c>
      <c r="H15" s="17">
        <f t="shared" si="0"/>
        <v>93</v>
      </c>
      <c r="I15" s="17">
        <f>G15-H15+C15</f>
        <v>547</v>
      </c>
      <c r="J15" s="17"/>
      <c r="K15" s="19"/>
      <c r="L15" s="17">
        <f>5.3*2</f>
        <v>10.6</v>
      </c>
      <c r="M15" s="18">
        <v>20</v>
      </c>
      <c r="N15" s="18">
        <v>0</v>
      </c>
      <c r="O15" s="17">
        <f t="shared" si="6"/>
        <v>212</v>
      </c>
      <c r="P15" s="17">
        <f t="shared" si="2"/>
        <v>31.799999999999997</v>
      </c>
      <c r="Q15" s="17">
        <f t="shared" si="5"/>
        <v>180.2</v>
      </c>
      <c r="R15" s="16" t="s">
        <v>24</v>
      </c>
    </row>
    <row r="16" spans="1:20">
      <c r="A16" s="16" t="s">
        <v>68</v>
      </c>
      <c r="B16" s="17">
        <v>31</v>
      </c>
      <c r="C16" s="17" t="s">
        <v>14</v>
      </c>
      <c r="D16" s="18">
        <v>20</v>
      </c>
      <c r="E16" s="18">
        <v>0</v>
      </c>
      <c r="F16" s="18">
        <v>2</v>
      </c>
      <c r="G16" s="17">
        <f t="shared" ref="G16:G23" si="7">B16*D16</f>
        <v>620</v>
      </c>
      <c r="H16" s="17">
        <f>B16*(E16+F16)</f>
        <v>62</v>
      </c>
      <c r="I16" s="17">
        <f>G16-H16</f>
        <v>558</v>
      </c>
      <c r="J16" s="17"/>
      <c r="K16" s="19"/>
      <c r="L16" s="17">
        <f>5.3*2</f>
        <v>10.6</v>
      </c>
      <c r="M16" s="18">
        <v>20</v>
      </c>
      <c r="N16" s="18">
        <v>0</v>
      </c>
      <c r="O16" s="17">
        <f t="shared" ref="O16:O22" si="8">L16*M16</f>
        <v>212</v>
      </c>
      <c r="P16" s="17">
        <f>L16*(E16+N16+F16)</f>
        <v>21.2</v>
      </c>
      <c r="Q16" s="17">
        <f>O16-P16</f>
        <v>190.8</v>
      </c>
      <c r="R16" s="16" t="s">
        <v>17</v>
      </c>
      <c r="S16" s="8"/>
      <c r="T16" s="8"/>
    </row>
    <row r="17" spans="1:20">
      <c r="A17" s="16" t="s">
        <v>69</v>
      </c>
      <c r="B17" s="17">
        <v>31</v>
      </c>
      <c r="C17" s="17" t="s">
        <v>14</v>
      </c>
      <c r="D17" s="18">
        <v>20</v>
      </c>
      <c r="E17" s="18">
        <v>0</v>
      </c>
      <c r="F17" s="18">
        <v>0</v>
      </c>
      <c r="G17" s="17">
        <f t="shared" si="7"/>
        <v>620</v>
      </c>
      <c r="H17" s="17" t="s">
        <v>14</v>
      </c>
      <c r="I17" s="17">
        <f t="shared" ref="I17:I22" si="9">G17</f>
        <v>620</v>
      </c>
      <c r="J17" s="17"/>
      <c r="K17" s="19"/>
      <c r="L17" s="17">
        <f>5.3*2</f>
        <v>10.6</v>
      </c>
      <c r="M17" s="18">
        <v>20</v>
      </c>
      <c r="N17" s="18">
        <v>0</v>
      </c>
      <c r="O17" s="17">
        <f t="shared" si="8"/>
        <v>212</v>
      </c>
      <c r="P17" s="17" t="s">
        <v>14</v>
      </c>
      <c r="Q17" s="17">
        <f>O17</f>
        <v>212</v>
      </c>
      <c r="R17" s="16" t="s">
        <v>17</v>
      </c>
      <c r="S17" s="8"/>
      <c r="T17" s="8"/>
    </row>
    <row r="18" spans="1:20">
      <c r="A18" s="16" t="s">
        <v>70</v>
      </c>
      <c r="B18" s="17">
        <v>31</v>
      </c>
      <c r="C18" s="17" t="s">
        <v>14</v>
      </c>
      <c r="D18" s="18">
        <v>20</v>
      </c>
      <c r="E18" s="18">
        <v>0</v>
      </c>
      <c r="F18" s="18">
        <v>0</v>
      </c>
      <c r="G18" s="17">
        <f t="shared" si="7"/>
        <v>620</v>
      </c>
      <c r="H18" s="17" t="s">
        <v>14</v>
      </c>
      <c r="I18" s="17">
        <f t="shared" si="9"/>
        <v>620</v>
      </c>
      <c r="J18" s="17"/>
      <c r="K18" s="19"/>
      <c r="L18" s="17">
        <f>5.3*2</f>
        <v>10.6</v>
      </c>
      <c r="M18" s="18">
        <v>20</v>
      </c>
      <c r="N18" s="18">
        <v>0</v>
      </c>
      <c r="O18" s="17">
        <f t="shared" si="8"/>
        <v>212</v>
      </c>
      <c r="P18" s="17" t="s">
        <v>14</v>
      </c>
      <c r="Q18" s="17">
        <f>O18</f>
        <v>212</v>
      </c>
      <c r="R18" s="16" t="s">
        <v>17</v>
      </c>
    </row>
    <row r="19" spans="1:20">
      <c r="A19" s="16" t="s">
        <v>71</v>
      </c>
      <c r="B19" s="17">
        <v>31</v>
      </c>
      <c r="C19" s="17" t="s">
        <v>14</v>
      </c>
      <c r="D19" s="18">
        <v>20</v>
      </c>
      <c r="E19" s="18">
        <v>0</v>
      </c>
      <c r="F19" s="18">
        <v>0</v>
      </c>
      <c r="G19" s="17">
        <f t="shared" si="7"/>
        <v>620</v>
      </c>
      <c r="H19" s="17">
        <f t="shared" si="0"/>
        <v>0</v>
      </c>
      <c r="I19" s="17">
        <f t="shared" si="9"/>
        <v>620</v>
      </c>
      <c r="J19" s="17"/>
      <c r="K19" s="19"/>
      <c r="L19" s="17">
        <f>5.3*2</f>
        <v>10.6</v>
      </c>
      <c r="M19" s="18">
        <v>20</v>
      </c>
      <c r="N19" s="18">
        <v>8</v>
      </c>
      <c r="O19" s="17">
        <f t="shared" si="8"/>
        <v>212</v>
      </c>
      <c r="P19" s="17">
        <f>L19*(E19+N19+F19)</f>
        <v>84.8</v>
      </c>
      <c r="Q19" s="17">
        <f>O19-P19</f>
        <v>127.2</v>
      </c>
      <c r="R19" s="16" t="s">
        <v>24</v>
      </c>
    </row>
    <row r="20" spans="1:20">
      <c r="A20" s="16" t="s">
        <v>72</v>
      </c>
      <c r="B20" s="17">
        <v>31</v>
      </c>
      <c r="C20" s="17"/>
      <c r="D20" s="18">
        <v>20</v>
      </c>
      <c r="E20" s="18">
        <v>0</v>
      </c>
      <c r="F20" s="18">
        <v>0</v>
      </c>
      <c r="G20" s="17">
        <f t="shared" si="7"/>
        <v>620</v>
      </c>
      <c r="H20" s="17">
        <f t="shared" si="0"/>
        <v>0</v>
      </c>
      <c r="I20" s="17">
        <f t="shared" si="9"/>
        <v>620</v>
      </c>
      <c r="J20" s="17"/>
      <c r="K20" s="19"/>
      <c r="L20" s="17">
        <f>5.3*2</f>
        <v>10.6</v>
      </c>
      <c r="M20" s="18">
        <v>20</v>
      </c>
      <c r="N20" s="18">
        <v>0</v>
      </c>
      <c r="O20" s="17">
        <f t="shared" si="8"/>
        <v>212</v>
      </c>
      <c r="P20" s="17">
        <f>L20*(E20+N20+F20)</f>
        <v>0</v>
      </c>
      <c r="Q20" s="17">
        <f>O20-P20</f>
        <v>212</v>
      </c>
      <c r="R20" s="16" t="s">
        <v>24</v>
      </c>
    </row>
    <row r="21" spans="1:20">
      <c r="A21" s="16" t="s">
        <v>73</v>
      </c>
      <c r="B21" s="17">
        <v>31</v>
      </c>
      <c r="C21" s="17" t="s">
        <v>14</v>
      </c>
      <c r="D21" s="18">
        <v>20</v>
      </c>
      <c r="E21" s="18">
        <v>0</v>
      </c>
      <c r="F21" s="18">
        <v>0</v>
      </c>
      <c r="G21" s="17">
        <f t="shared" si="7"/>
        <v>620</v>
      </c>
      <c r="H21" s="17">
        <f t="shared" si="0"/>
        <v>0</v>
      </c>
      <c r="I21" s="17">
        <f t="shared" si="9"/>
        <v>620</v>
      </c>
      <c r="J21" s="17"/>
      <c r="K21" s="19"/>
      <c r="L21" s="17">
        <f>5.3*2</f>
        <v>10.6</v>
      </c>
      <c r="M21" s="18">
        <v>20</v>
      </c>
      <c r="N21" s="18">
        <v>8</v>
      </c>
      <c r="O21" s="17">
        <f t="shared" si="8"/>
        <v>212</v>
      </c>
      <c r="P21" s="17">
        <f>L21*(E21+N21+F21)</f>
        <v>84.8</v>
      </c>
      <c r="Q21" s="17">
        <f>O21-P21</f>
        <v>127.2</v>
      </c>
      <c r="R21" s="16" t="s">
        <v>24</v>
      </c>
    </row>
    <row r="22" spans="1:20">
      <c r="A22" s="16" t="s">
        <v>74</v>
      </c>
      <c r="B22" s="17">
        <v>31</v>
      </c>
      <c r="C22" s="17" t="s">
        <v>14</v>
      </c>
      <c r="D22" s="18">
        <v>20</v>
      </c>
      <c r="E22" s="18" t="s">
        <v>14</v>
      </c>
      <c r="F22" s="18">
        <v>0</v>
      </c>
      <c r="G22" s="17">
        <f t="shared" si="7"/>
        <v>620</v>
      </c>
      <c r="H22" s="17" t="s">
        <v>14</v>
      </c>
      <c r="I22" s="17">
        <f t="shared" si="9"/>
        <v>620</v>
      </c>
      <c r="J22" s="17"/>
      <c r="K22" s="19"/>
      <c r="L22" s="17">
        <f>5.3*2</f>
        <v>10.6</v>
      </c>
      <c r="M22" s="18">
        <v>20</v>
      </c>
      <c r="N22" s="18">
        <v>0</v>
      </c>
      <c r="O22" s="17">
        <f t="shared" si="8"/>
        <v>212</v>
      </c>
      <c r="P22" s="17" t="s">
        <v>14</v>
      </c>
      <c r="Q22" s="17">
        <f>O22</f>
        <v>212</v>
      </c>
      <c r="R22" s="16" t="s">
        <v>17</v>
      </c>
    </row>
    <row r="23" spans="1:20">
      <c r="A23" s="16" t="s">
        <v>75</v>
      </c>
      <c r="B23" s="17">
        <v>31</v>
      </c>
      <c r="C23" s="17">
        <v>20</v>
      </c>
      <c r="D23" s="18">
        <v>20</v>
      </c>
      <c r="E23" s="18">
        <v>0</v>
      </c>
      <c r="F23" s="18">
        <v>1</v>
      </c>
      <c r="G23" s="17">
        <f t="shared" si="7"/>
        <v>620</v>
      </c>
      <c r="H23" s="17">
        <f t="shared" si="0"/>
        <v>31</v>
      </c>
      <c r="I23" s="17">
        <f>G23-H23+C23</f>
        <v>609</v>
      </c>
      <c r="J23" s="17"/>
      <c r="K23" s="19"/>
      <c r="L23" s="17" t="s">
        <v>14</v>
      </c>
      <c r="M23" s="18">
        <v>20</v>
      </c>
      <c r="N23" s="18">
        <v>0</v>
      </c>
      <c r="O23" s="17" t="s">
        <v>14</v>
      </c>
      <c r="P23" s="17" t="s">
        <v>14</v>
      </c>
      <c r="Q23" s="17" t="s">
        <v>14</v>
      </c>
      <c r="R23" s="16" t="s">
        <v>22</v>
      </c>
    </row>
    <row r="24" spans="1:20">
      <c r="A24" s="8"/>
      <c r="B24" s="13"/>
      <c r="C24" s="13"/>
      <c r="D24" s="18"/>
      <c r="E24" s="14"/>
      <c r="F24" s="14"/>
      <c r="G24" s="13"/>
      <c r="H24" s="13"/>
      <c r="I24" s="13"/>
      <c r="J24" s="13"/>
      <c r="K24" s="15"/>
      <c r="L24" s="13"/>
      <c r="M24" s="14"/>
      <c r="N24" s="14"/>
      <c r="O24" s="13"/>
      <c r="P24" s="13"/>
      <c r="Q24" s="13"/>
      <c r="R24" s="8"/>
    </row>
    <row r="25" spans="1:20">
      <c r="A25" s="8"/>
      <c r="B25" s="13"/>
      <c r="C25" s="13"/>
      <c r="D25" s="14"/>
      <c r="E25" s="14"/>
      <c r="F25" s="14"/>
      <c r="G25" s="17"/>
      <c r="H25" s="17" t="s">
        <v>54</v>
      </c>
      <c r="I25" s="17">
        <f>SUM(I5:I24)</f>
        <v>10352</v>
      </c>
      <c r="J25" s="17"/>
      <c r="K25" s="19"/>
      <c r="L25" s="17"/>
      <c r="M25" s="18"/>
      <c r="N25" s="18"/>
      <c r="O25" s="43" t="s">
        <v>17</v>
      </c>
      <c r="P25" s="43"/>
      <c r="Q25" s="21">
        <f>Q5+Q6+Q8+Q10+Q11+Q16+Q17+Q18+Q22</f>
        <v>1951.4</v>
      </c>
      <c r="R25" s="16"/>
    </row>
    <row r="26" spans="1:20">
      <c r="A26" s="8"/>
      <c r="B26" s="13"/>
      <c r="C26" s="13"/>
      <c r="D26" s="14"/>
      <c r="E26" s="14"/>
      <c r="F26" s="14"/>
      <c r="G26" s="17"/>
      <c r="H26" s="17"/>
      <c r="I26" s="17"/>
      <c r="J26" s="17"/>
      <c r="K26" s="19"/>
      <c r="L26" s="17"/>
      <c r="M26" s="18"/>
      <c r="N26" s="18"/>
      <c r="O26" s="33"/>
      <c r="P26" s="32" t="s">
        <v>24</v>
      </c>
      <c r="Q26" s="21">
        <f>Q14+Q15+Q19+Q20+Q21</f>
        <v>773.8</v>
      </c>
      <c r="R26" s="16"/>
    </row>
    <row r="27" spans="1:20">
      <c r="A27" s="8"/>
      <c r="B27" s="13"/>
      <c r="C27" s="13"/>
      <c r="D27" s="14"/>
      <c r="E27" s="14"/>
      <c r="F27" s="14"/>
      <c r="G27" s="17"/>
      <c r="H27" s="17"/>
      <c r="I27" s="17"/>
      <c r="J27" s="17"/>
      <c r="K27" s="19"/>
      <c r="L27" s="17"/>
      <c r="M27" s="18"/>
      <c r="N27" s="18"/>
      <c r="O27" s="33"/>
      <c r="P27" s="32" t="s">
        <v>26</v>
      </c>
      <c r="Q27" s="21">
        <f>Q7+Q13</f>
        <v>361</v>
      </c>
      <c r="R27" s="16"/>
    </row>
    <row r="28" spans="1:2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1"/>
      <c r="L28" s="10"/>
      <c r="M28" s="10"/>
      <c r="N28" s="10"/>
      <c r="O28" s="10"/>
    </row>
    <row r="29" spans="1:2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1"/>
      <c r="L29" s="10"/>
      <c r="M29" s="10"/>
      <c r="N29" s="10"/>
      <c r="O29" s="10"/>
    </row>
    <row r="30" spans="1:2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0"/>
      <c r="M30" s="10"/>
      <c r="N30" s="10"/>
      <c r="O30" s="10"/>
    </row>
    <row r="31" spans="1:2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0"/>
      <c r="M31" s="10"/>
      <c r="N31" s="10"/>
      <c r="O31" s="10"/>
    </row>
    <row r="32" spans="1:2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0"/>
      <c r="M32" s="10"/>
      <c r="N32" s="10"/>
      <c r="O32" s="10"/>
    </row>
    <row r="33" spans="1: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  <c r="L33" s="10"/>
      <c r="M33" s="10"/>
      <c r="N33" s="10"/>
      <c r="O33" s="10"/>
    </row>
    <row r="34" spans="1: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1"/>
      <c r="L34" s="10"/>
      <c r="M34" s="10"/>
      <c r="N34" s="10"/>
      <c r="O34" s="10"/>
    </row>
    <row r="35" spans="1: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1"/>
      <c r="L35" s="10"/>
      <c r="M35" s="10"/>
      <c r="N35" s="10"/>
      <c r="O35" s="10"/>
    </row>
    <row r="36" spans="1: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  <c r="L36" s="10"/>
      <c r="M36" s="10"/>
      <c r="N36" s="10"/>
      <c r="O36" s="10"/>
    </row>
    <row r="37" spans="1: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  <c r="L37" s="10"/>
      <c r="M37" s="10"/>
      <c r="N37" s="10"/>
      <c r="O37" s="10"/>
    </row>
    <row r="38" spans="1: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</sheetData>
  <autoFilter ref="L3:R23" xr:uid="{16AEE832-4546-48F9-B841-B9CBD3FEC0D9}"/>
  <mergeCells count="18">
    <mergeCell ref="O25:P25"/>
    <mergeCell ref="O3:O4"/>
    <mergeCell ref="P3:P4"/>
    <mergeCell ref="A1:B2"/>
    <mergeCell ref="A3:A4"/>
    <mergeCell ref="B3:B4"/>
    <mergeCell ref="D3:D4"/>
    <mergeCell ref="E3:E4"/>
    <mergeCell ref="F3:F4"/>
    <mergeCell ref="G3:G4"/>
    <mergeCell ref="C3:C4"/>
    <mergeCell ref="R3:R4"/>
    <mergeCell ref="H3:H4"/>
    <mergeCell ref="I3:I4"/>
    <mergeCell ref="L3:L4"/>
    <mergeCell ref="M3:M4"/>
    <mergeCell ref="N3:N4"/>
    <mergeCell ref="Q3:Q4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8753-FC35-4C85-8F1A-7C7097268C68}">
  <sheetPr filterMode="1"/>
  <dimension ref="A1:S33"/>
  <sheetViews>
    <sheetView showGridLines="0" zoomScaleNormal="100" workbookViewId="0">
      <pane xSplit="2" ySplit="2" topLeftCell="H3" activePane="bottomRight" state="frozen"/>
      <selection pane="bottomRight" activeCell="Q13" sqref="Q13"/>
      <selection pane="bottomLeft" activeCell="A3" sqref="A3"/>
      <selection pane="topRight" activeCell="C1" sqref="C1"/>
    </sheetView>
  </sheetViews>
  <sheetFormatPr defaultRowHeight="15"/>
  <cols>
    <col min="1" max="1" width="2.7109375" customWidth="1"/>
    <col min="2" max="2" width="32.7109375" bestFit="1" customWidth="1"/>
    <col min="3" max="3" width="10.140625" bestFit="1" customWidth="1"/>
    <col min="4" max="6" width="9.28515625" bestFit="1" customWidth="1"/>
    <col min="7" max="7" width="11.28515625" bestFit="1" customWidth="1"/>
    <col min="8" max="8" width="11.28515625" customWidth="1"/>
    <col min="9" max="9" width="12.28515625" bestFit="1" customWidth="1"/>
    <col min="10" max="11" width="2.7109375" customWidth="1"/>
    <col min="12" max="12" width="13.140625" customWidth="1"/>
    <col min="13" max="14" width="9.28515625" bestFit="1" customWidth="1"/>
    <col min="15" max="15" width="11.28515625" bestFit="1" customWidth="1"/>
    <col min="16" max="16" width="13.5703125" bestFit="1" customWidth="1"/>
    <col min="17" max="17" width="11.28515625" customWidth="1"/>
    <col min="18" max="18" width="30.7109375" customWidth="1"/>
  </cols>
  <sheetData>
    <row r="1" spans="1:19">
      <c r="B1" s="38" t="s">
        <v>76</v>
      </c>
      <c r="C1" s="38"/>
      <c r="K1" s="2"/>
    </row>
    <row r="2" spans="1:19">
      <c r="B2" s="38"/>
      <c r="C2" s="38"/>
      <c r="K2" s="2"/>
    </row>
    <row r="3" spans="1:19">
      <c r="B3" s="41" t="s">
        <v>1</v>
      </c>
      <c r="C3" s="34" t="s">
        <v>2</v>
      </c>
      <c r="D3" s="34" t="s">
        <v>4</v>
      </c>
      <c r="E3" s="39" t="s">
        <v>5</v>
      </c>
      <c r="F3" s="39" t="s">
        <v>6</v>
      </c>
      <c r="G3" s="34" t="s">
        <v>7</v>
      </c>
      <c r="H3" s="34" t="s">
        <v>8</v>
      </c>
      <c r="I3" s="34" t="s">
        <v>9</v>
      </c>
      <c r="J3" s="4"/>
      <c r="K3" s="6"/>
      <c r="L3" s="34" t="s">
        <v>10</v>
      </c>
      <c r="M3" s="34" t="s">
        <v>4</v>
      </c>
      <c r="N3" s="34" t="s">
        <v>11</v>
      </c>
      <c r="O3" s="34" t="s">
        <v>7</v>
      </c>
      <c r="P3" s="34" t="s">
        <v>8</v>
      </c>
      <c r="Q3" s="34" t="s">
        <v>9</v>
      </c>
      <c r="R3" s="34" t="s">
        <v>12</v>
      </c>
    </row>
    <row r="4" spans="1:19" ht="15" hidden="1" customHeight="1">
      <c r="A4" s="1"/>
      <c r="B4" s="42"/>
      <c r="C4" s="35"/>
      <c r="D4" s="35"/>
      <c r="E4" s="40"/>
      <c r="F4" s="40"/>
      <c r="G4" s="35"/>
      <c r="H4" s="35"/>
      <c r="I4" s="35"/>
      <c r="J4" s="7"/>
      <c r="K4" s="12"/>
      <c r="L4" s="35"/>
      <c r="M4" s="35"/>
      <c r="N4" s="35"/>
      <c r="O4" s="35"/>
      <c r="P4" s="35"/>
      <c r="Q4" s="35"/>
      <c r="R4" s="35"/>
    </row>
    <row r="5" spans="1:19" hidden="1">
      <c r="B5" s="16" t="s">
        <v>77</v>
      </c>
      <c r="C5" s="17">
        <v>31</v>
      </c>
      <c r="D5" s="18">
        <v>20</v>
      </c>
      <c r="E5" s="18">
        <v>0</v>
      </c>
      <c r="F5" s="18">
        <v>0</v>
      </c>
      <c r="G5" s="17">
        <f>C5*D5</f>
        <v>620</v>
      </c>
      <c r="H5" s="17">
        <f>C5*(E5+F5)</f>
        <v>0</v>
      </c>
      <c r="I5" s="17">
        <f>G5-H5</f>
        <v>620</v>
      </c>
      <c r="J5" s="17"/>
      <c r="K5" s="19"/>
      <c r="L5" s="17">
        <f>5.3*2</f>
        <v>10.6</v>
      </c>
      <c r="M5" s="18">
        <v>20</v>
      </c>
      <c r="N5" s="18">
        <v>8</v>
      </c>
      <c r="O5" s="17">
        <f>L5*M5</f>
        <v>212</v>
      </c>
      <c r="P5" s="17">
        <f>L5*(E5+N5+F5)</f>
        <v>84.8</v>
      </c>
      <c r="Q5" s="17">
        <f>O5-P5</f>
        <v>127.2</v>
      </c>
      <c r="R5" s="16" t="s">
        <v>24</v>
      </c>
      <c r="S5" s="8"/>
    </row>
    <row r="6" spans="1:19">
      <c r="B6" s="16" t="s">
        <v>78</v>
      </c>
      <c r="C6" s="17">
        <v>31</v>
      </c>
      <c r="D6" s="18">
        <v>20</v>
      </c>
      <c r="E6" s="18">
        <v>0</v>
      </c>
      <c r="F6" s="18">
        <v>0</v>
      </c>
      <c r="G6" s="17">
        <f>C6*D6</f>
        <v>620</v>
      </c>
      <c r="H6" s="17">
        <f>C6*(E6+F6)</f>
        <v>0</v>
      </c>
      <c r="I6" s="17">
        <f>G6-H6</f>
        <v>620</v>
      </c>
      <c r="J6" s="17"/>
      <c r="K6" s="19"/>
      <c r="L6" s="17">
        <f>5.3*2</f>
        <v>10.6</v>
      </c>
      <c r="M6" s="18">
        <v>20</v>
      </c>
      <c r="N6" s="18">
        <v>8</v>
      </c>
      <c r="O6" s="17">
        <f>L6*M6</f>
        <v>212</v>
      </c>
      <c r="P6" s="17">
        <f>L6*(E6+N6+F6)</f>
        <v>84.8</v>
      </c>
      <c r="Q6" s="17">
        <f>O6-P6</f>
        <v>127.2</v>
      </c>
      <c r="R6" s="16" t="s">
        <v>17</v>
      </c>
      <c r="S6" s="8"/>
    </row>
    <row r="7" spans="1:19">
      <c r="B7" s="16" t="s">
        <v>79</v>
      </c>
      <c r="C7" s="17">
        <v>31</v>
      </c>
      <c r="D7" s="18">
        <v>20</v>
      </c>
      <c r="E7" s="18">
        <v>0</v>
      </c>
      <c r="F7" s="18">
        <v>4</v>
      </c>
      <c r="G7" s="17">
        <f>C7*D7</f>
        <v>620</v>
      </c>
      <c r="H7" s="17">
        <f>C7*(E7+F7)</f>
        <v>124</v>
      </c>
      <c r="I7" s="17">
        <f>G7-H7</f>
        <v>496</v>
      </c>
      <c r="J7" s="17"/>
      <c r="K7" s="19"/>
      <c r="L7" s="17">
        <f>5.3*2</f>
        <v>10.6</v>
      </c>
      <c r="M7" s="18">
        <v>20</v>
      </c>
      <c r="N7" s="18">
        <v>8</v>
      </c>
      <c r="O7" s="17">
        <f>L7*M7</f>
        <v>212</v>
      </c>
      <c r="P7" s="17">
        <f>L7*(E7+N7+F7)</f>
        <v>127.19999999999999</v>
      </c>
      <c r="Q7" s="17">
        <f>O7-P7</f>
        <v>84.800000000000011</v>
      </c>
      <c r="R7" s="16" t="s">
        <v>17</v>
      </c>
      <c r="S7" s="8"/>
    </row>
    <row r="8" spans="1:19" hidden="1">
      <c r="B8" s="16" t="s">
        <v>80</v>
      </c>
      <c r="C8" s="17">
        <v>31</v>
      </c>
      <c r="D8" s="18">
        <v>20</v>
      </c>
      <c r="E8" s="18">
        <v>0</v>
      </c>
      <c r="F8" s="18">
        <v>0</v>
      </c>
      <c r="G8" s="17">
        <f>C8*D8</f>
        <v>620</v>
      </c>
      <c r="H8" s="17">
        <f>C8*(E8+F8)</f>
        <v>0</v>
      </c>
      <c r="I8" s="17">
        <f>G8-H8</f>
        <v>620</v>
      </c>
      <c r="J8" s="17"/>
      <c r="K8" s="19"/>
      <c r="L8" s="17">
        <f>5*2</f>
        <v>10</v>
      </c>
      <c r="M8" s="18">
        <v>20</v>
      </c>
      <c r="N8" s="18">
        <v>0</v>
      </c>
      <c r="O8" s="17">
        <f t="shared" ref="O8:O11" si="0">L8*M8</f>
        <v>200</v>
      </c>
      <c r="P8" s="17">
        <f t="shared" ref="P8:P11" si="1">L8*(E8+N8+F8)</f>
        <v>0</v>
      </c>
      <c r="Q8" s="17">
        <f>O8-P8</f>
        <v>200</v>
      </c>
      <c r="R8" s="16" t="s">
        <v>26</v>
      </c>
      <c r="S8" s="8"/>
    </row>
    <row r="9" spans="1:19" hidden="1">
      <c r="B9" s="16" t="s">
        <v>81</v>
      </c>
      <c r="C9" s="17">
        <v>31</v>
      </c>
      <c r="D9" s="18">
        <v>20</v>
      </c>
      <c r="E9" s="18">
        <v>0</v>
      </c>
      <c r="F9" s="18">
        <v>1</v>
      </c>
      <c r="G9" s="17">
        <f>C9*D9</f>
        <v>620</v>
      </c>
      <c r="H9" s="17">
        <f>C9*(E9+F9)</f>
        <v>31</v>
      </c>
      <c r="I9" s="17">
        <f>G9-H9</f>
        <v>589</v>
      </c>
      <c r="J9" s="17"/>
      <c r="K9" s="19"/>
      <c r="L9" s="17">
        <f>5*2</f>
        <v>10</v>
      </c>
      <c r="M9" s="18" t="s">
        <v>14</v>
      </c>
      <c r="N9" s="18" t="s">
        <v>14</v>
      </c>
      <c r="O9" s="17" t="s">
        <v>14</v>
      </c>
      <c r="P9" s="17" t="s">
        <v>14</v>
      </c>
      <c r="Q9" s="17" t="s">
        <v>14</v>
      </c>
      <c r="R9" s="16" t="s">
        <v>15</v>
      </c>
      <c r="S9" s="8"/>
    </row>
    <row r="10" spans="1:19" hidden="1">
      <c r="B10" s="16" t="s">
        <v>82</v>
      </c>
      <c r="C10" s="17">
        <v>31</v>
      </c>
      <c r="D10" s="18">
        <v>20</v>
      </c>
      <c r="E10" s="18">
        <v>0</v>
      </c>
      <c r="F10" s="18">
        <v>0</v>
      </c>
      <c r="G10" s="17">
        <f>C10*D10</f>
        <v>620</v>
      </c>
      <c r="H10" s="17">
        <f>C10*(E10+F10)</f>
        <v>0</v>
      </c>
      <c r="I10" s="17">
        <f>G10-H10</f>
        <v>620</v>
      </c>
      <c r="J10" s="17"/>
      <c r="K10" s="19"/>
      <c r="L10" s="17">
        <f>10.1*2</f>
        <v>20.2</v>
      </c>
      <c r="M10" s="18" t="s">
        <v>14</v>
      </c>
      <c r="N10" s="18" t="s">
        <v>14</v>
      </c>
      <c r="O10" s="17" t="s">
        <v>14</v>
      </c>
      <c r="P10" s="17" t="s">
        <v>14</v>
      </c>
      <c r="Q10" s="17" t="s">
        <v>14</v>
      </c>
      <c r="R10" s="16" t="s">
        <v>15</v>
      </c>
      <c r="S10" s="8"/>
    </row>
    <row r="11" spans="1:19" hidden="1">
      <c r="B11" s="16" t="s">
        <v>83</v>
      </c>
      <c r="C11" s="17">
        <v>31</v>
      </c>
      <c r="D11" s="18">
        <v>20</v>
      </c>
      <c r="E11" s="18">
        <v>0</v>
      </c>
      <c r="F11" s="18">
        <v>0</v>
      </c>
      <c r="G11" s="17">
        <f>C11*D11</f>
        <v>620</v>
      </c>
      <c r="H11" s="17">
        <f>C11*(E11+F11)</f>
        <v>0</v>
      </c>
      <c r="I11" s="17">
        <f>G11-H11</f>
        <v>620</v>
      </c>
      <c r="J11" s="17"/>
      <c r="K11" s="19"/>
      <c r="L11" s="17">
        <f>5.3*2</f>
        <v>10.6</v>
      </c>
      <c r="M11" s="18">
        <v>20</v>
      </c>
      <c r="N11" s="18">
        <v>0</v>
      </c>
      <c r="O11" s="17">
        <f t="shared" si="0"/>
        <v>212</v>
      </c>
      <c r="P11" s="17">
        <f t="shared" si="1"/>
        <v>0</v>
      </c>
      <c r="Q11" s="17">
        <f>O11-P11</f>
        <v>212</v>
      </c>
      <c r="R11" s="16" t="s">
        <v>24</v>
      </c>
      <c r="S11" s="8"/>
    </row>
    <row r="12" spans="1:19" ht="4.5" customHeight="1">
      <c r="B12" s="8"/>
      <c r="C12" s="13"/>
      <c r="D12" s="14"/>
      <c r="E12" s="14"/>
      <c r="F12" s="14"/>
      <c r="G12" s="13"/>
      <c r="H12" s="13"/>
      <c r="I12" s="13"/>
      <c r="J12" s="13"/>
      <c r="K12" s="15"/>
      <c r="L12" s="13"/>
      <c r="M12" s="14"/>
      <c r="N12" s="14"/>
      <c r="O12" s="13"/>
      <c r="P12" s="13"/>
      <c r="Q12" s="13"/>
      <c r="R12" s="8"/>
    </row>
    <row r="13" spans="1:19">
      <c r="B13" s="8"/>
      <c r="C13" s="13"/>
      <c r="D13" s="14"/>
      <c r="E13" s="14"/>
      <c r="F13" s="14"/>
      <c r="G13" s="17"/>
      <c r="H13" s="17" t="s">
        <v>54</v>
      </c>
      <c r="I13" s="17">
        <f>SUM(I5:I11)</f>
        <v>4185</v>
      </c>
      <c r="J13" s="17"/>
      <c r="K13" s="19"/>
      <c r="L13" s="17"/>
      <c r="M13" s="18"/>
      <c r="N13" s="18"/>
      <c r="O13" s="36" t="s">
        <v>17</v>
      </c>
      <c r="P13" s="36"/>
      <c r="Q13" s="21">
        <f>Q6+Q7</f>
        <v>212</v>
      </c>
      <c r="R13" s="8"/>
    </row>
    <row r="14" spans="1:19">
      <c r="B14" s="8"/>
      <c r="C14" s="13"/>
      <c r="D14" s="14"/>
      <c r="E14" s="14"/>
      <c r="F14" s="14"/>
      <c r="G14" s="17"/>
      <c r="H14" s="17"/>
      <c r="I14" s="17"/>
      <c r="J14" s="17"/>
      <c r="K14" s="19"/>
      <c r="L14" s="17"/>
      <c r="M14" s="18"/>
      <c r="N14" s="18"/>
      <c r="O14" s="22"/>
      <c r="P14" s="20" t="s">
        <v>24</v>
      </c>
      <c r="Q14" s="21">
        <f>Q5+Q11</f>
        <v>339.2</v>
      </c>
      <c r="R14" s="8"/>
    </row>
    <row r="15" spans="1:19">
      <c r="B15" s="8"/>
      <c r="C15" s="13"/>
      <c r="D15" s="14"/>
      <c r="E15" s="14"/>
      <c r="F15" s="14"/>
      <c r="G15" s="17"/>
      <c r="H15" s="17"/>
      <c r="I15" s="17"/>
      <c r="J15" s="17"/>
      <c r="K15" s="19"/>
      <c r="L15" s="17"/>
      <c r="M15" s="18"/>
      <c r="N15" s="18"/>
      <c r="O15" s="22"/>
      <c r="P15" s="20" t="s">
        <v>26</v>
      </c>
      <c r="Q15" s="21">
        <f>Q8</f>
        <v>200</v>
      </c>
      <c r="R15" s="8"/>
    </row>
    <row r="16" spans="1:19">
      <c r="B16" s="8"/>
      <c r="C16" s="13"/>
      <c r="D16" s="14"/>
      <c r="E16" s="14"/>
      <c r="F16" s="14"/>
      <c r="G16" s="13"/>
      <c r="H16" s="13"/>
      <c r="I16" s="13"/>
      <c r="J16" s="13"/>
      <c r="K16" s="15"/>
      <c r="L16" s="13"/>
      <c r="M16" s="14"/>
      <c r="N16" s="14"/>
      <c r="O16" s="13"/>
      <c r="P16" s="13"/>
      <c r="Q16" s="13"/>
      <c r="R16" s="8"/>
    </row>
    <row r="17" spans="2:18">
      <c r="B17" s="8"/>
      <c r="C17" s="13"/>
      <c r="D17" s="14"/>
      <c r="E17" s="14"/>
      <c r="F17" s="14"/>
      <c r="G17" s="13"/>
      <c r="H17" s="13"/>
      <c r="I17" s="13"/>
      <c r="J17" s="13"/>
      <c r="K17" s="15"/>
      <c r="L17" s="13"/>
      <c r="M17" s="14"/>
      <c r="N17" s="14"/>
      <c r="O17" s="13"/>
      <c r="P17" s="13"/>
      <c r="Q17" s="13"/>
      <c r="R17" s="8"/>
    </row>
    <row r="18" spans="2:18">
      <c r="B18" s="8"/>
      <c r="C18" s="13"/>
      <c r="D18" s="14"/>
      <c r="E18" s="14"/>
      <c r="F18" s="14"/>
      <c r="G18" s="13"/>
      <c r="H18" s="13"/>
      <c r="I18" s="13"/>
      <c r="J18" s="13"/>
      <c r="K18" s="15"/>
      <c r="L18" s="13"/>
      <c r="M18" s="14"/>
      <c r="N18" s="14"/>
      <c r="O18" s="13"/>
      <c r="P18" s="13"/>
      <c r="Q18" s="13"/>
      <c r="R18" s="8"/>
    </row>
    <row r="19" spans="2:18">
      <c r="B19" s="8"/>
      <c r="C19" s="13"/>
      <c r="D19" s="14"/>
      <c r="E19" s="14"/>
      <c r="F19" s="14"/>
      <c r="G19" s="13"/>
      <c r="H19" s="13"/>
      <c r="I19" s="13"/>
      <c r="J19" s="13"/>
      <c r="K19" s="15"/>
      <c r="L19" s="13"/>
      <c r="M19" s="14"/>
      <c r="N19" s="14"/>
      <c r="O19" s="13"/>
      <c r="P19" s="13"/>
      <c r="Q19" s="13"/>
      <c r="R19" s="8"/>
    </row>
    <row r="20" spans="2:18">
      <c r="B20" s="8"/>
      <c r="C20" s="13"/>
      <c r="D20" s="14"/>
      <c r="E20" s="14"/>
      <c r="F20" s="14"/>
      <c r="G20" s="13"/>
      <c r="H20" s="13"/>
      <c r="I20" s="13"/>
      <c r="J20" s="13"/>
      <c r="K20" s="15"/>
      <c r="L20" s="13"/>
      <c r="M20" s="14"/>
      <c r="N20" s="14"/>
      <c r="O20" s="13"/>
      <c r="P20" s="13"/>
      <c r="Q20" s="13"/>
      <c r="R20" s="8"/>
    </row>
    <row r="21" spans="2:18">
      <c r="B21" s="8"/>
      <c r="C21" s="13"/>
      <c r="D21" s="14"/>
      <c r="E21" s="14"/>
      <c r="F21" s="14"/>
      <c r="G21" s="13"/>
      <c r="H21" s="13"/>
      <c r="I21" s="13"/>
      <c r="J21" s="13"/>
      <c r="K21" s="15"/>
      <c r="L21" s="13"/>
      <c r="M21" s="14"/>
      <c r="N21" s="14"/>
      <c r="O21" s="13"/>
      <c r="P21" s="13"/>
      <c r="Q21" s="13"/>
      <c r="R21" s="8"/>
    </row>
    <row r="22" spans="2:18">
      <c r="B22" s="9"/>
      <c r="C22" s="13"/>
      <c r="D22" s="14"/>
      <c r="E22" s="14"/>
      <c r="F22" s="14"/>
      <c r="G22" s="13"/>
      <c r="H22" s="13"/>
      <c r="I22" s="13"/>
      <c r="J22" s="13"/>
      <c r="K22" s="15"/>
      <c r="L22" s="13"/>
      <c r="M22" s="14"/>
      <c r="N22" s="14"/>
      <c r="O22" s="10"/>
      <c r="R22" s="8"/>
    </row>
    <row r="23" spans="2:18"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0"/>
      <c r="M23" s="10"/>
      <c r="N23" s="10"/>
      <c r="O23" s="10"/>
    </row>
    <row r="24" spans="2:18"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0"/>
      <c r="M24" s="10"/>
      <c r="N24" s="10"/>
      <c r="O24" s="10"/>
    </row>
    <row r="25" spans="2:18">
      <c r="B25" s="10"/>
      <c r="C25" s="10"/>
      <c r="D25" s="10"/>
      <c r="E25" s="10"/>
      <c r="F25" s="10"/>
      <c r="G25" s="10"/>
      <c r="H25" s="10"/>
      <c r="I25" s="10"/>
      <c r="J25" s="10"/>
      <c r="K25" s="11"/>
      <c r="L25" s="10"/>
      <c r="M25" s="10"/>
      <c r="N25" s="10"/>
      <c r="O25" s="10"/>
    </row>
    <row r="26" spans="2:18">
      <c r="B26" s="10"/>
      <c r="C26" s="10"/>
      <c r="D26" s="10"/>
      <c r="E26" s="10"/>
      <c r="F26" s="10"/>
      <c r="G26" s="10"/>
      <c r="H26" s="10"/>
      <c r="I26" s="10"/>
      <c r="J26" s="10"/>
      <c r="K26" s="11"/>
      <c r="L26" s="10"/>
      <c r="M26" s="10"/>
      <c r="N26" s="10"/>
      <c r="O26" s="10"/>
    </row>
    <row r="27" spans="2:18">
      <c r="B27" s="10"/>
      <c r="C27" s="10"/>
      <c r="D27" s="10"/>
      <c r="E27" s="10"/>
      <c r="F27" s="10"/>
      <c r="G27" s="10"/>
      <c r="H27" s="10"/>
      <c r="I27" s="10"/>
      <c r="J27" s="10"/>
      <c r="K27" s="11"/>
      <c r="L27" s="10"/>
      <c r="M27" s="10"/>
      <c r="N27" s="10"/>
      <c r="O27" s="10"/>
    </row>
    <row r="28" spans="2:18">
      <c r="B28" s="10"/>
      <c r="C28" s="10"/>
      <c r="D28" s="10"/>
      <c r="E28" s="10"/>
      <c r="F28" s="10"/>
      <c r="G28" s="10"/>
      <c r="H28" s="10"/>
      <c r="I28" s="10"/>
      <c r="J28" s="10"/>
      <c r="K28" s="11"/>
      <c r="L28" s="10"/>
      <c r="M28" s="10"/>
      <c r="N28" s="10"/>
      <c r="O28" s="10"/>
    </row>
    <row r="29" spans="2:18">
      <c r="B29" s="10"/>
      <c r="C29" s="10"/>
      <c r="D29" s="10"/>
      <c r="E29" s="10"/>
      <c r="F29" s="10"/>
      <c r="G29" s="10"/>
      <c r="H29" s="10"/>
      <c r="I29" s="10"/>
      <c r="J29" s="10"/>
      <c r="K29" s="11"/>
      <c r="L29" s="10"/>
      <c r="M29" s="10"/>
      <c r="N29" s="10"/>
      <c r="O29" s="10"/>
    </row>
    <row r="30" spans="2:18"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0"/>
      <c r="M30" s="10"/>
      <c r="N30" s="10"/>
      <c r="O30" s="10"/>
    </row>
    <row r="31" spans="2:18"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0"/>
      <c r="M31" s="10"/>
      <c r="N31" s="10"/>
      <c r="O31" s="10"/>
    </row>
    <row r="32" spans="2:18"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0"/>
      <c r="M32" s="10"/>
      <c r="N32" s="10"/>
      <c r="O32" s="10"/>
    </row>
    <row r="33" spans="2:1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</sheetData>
  <autoFilter ref="B3:R11" xr:uid="{764A8753-FC35-4C85-8F1A-7C7097268C68}">
    <filterColumn colId="16">
      <filters>
        <filter val="COMBUSTIVEL"/>
      </filters>
    </filterColumn>
  </autoFilter>
  <mergeCells count="17">
    <mergeCell ref="O13:P13"/>
    <mergeCell ref="F3:F4"/>
    <mergeCell ref="G3:G4"/>
    <mergeCell ref="B1:C2"/>
    <mergeCell ref="B3:B4"/>
    <mergeCell ref="C3:C4"/>
    <mergeCell ref="D3:D4"/>
    <mergeCell ref="E3:E4"/>
    <mergeCell ref="R3:R4"/>
    <mergeCell ref="H3:H4"/>
    <mergeCell ref="I3:I4"/>
    <mergeCell ref="L3:L4"/>
    <mergeCell ref="M3:M4"/>
    <mergeCell ref="N3:N4"/>
    <mergeCell ref="Q3:Q4"/>
    <mergeCell ref="O3:O4"/>
    <mergeCell ref="P3:P4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4502-3808-4158-8BD2-4BE1A5BFB244}">
  <dimension ref="A1:U32"/>
  <sheetViews>
    <sheetView showGridLines="0" zoomScaleNormal="100" workbookViewId="0">
      <pane xSplit="2" ySplit="2" topLeftCell="F3" activePane="bottomRight" state="frozen"/>
      <selection pane="bottomRight" activeCell="R13" sqref="R13"/>
      <selection pane="bottomLeft" activeCell="A3" sqref="A3"/>
      <selection pane="topRight" activeCell="C1" sqref="C1"/>
    </sheetView>
  </sheetViews>
  <sheetFormatPr defaultRowHeight="15"/>
  <cols>
    <col min="1" max="1" width="2.7109375" customWidth="1"/>
    <col min="2" max="2" width="32.7109375" bestFit="1" customWidth="1"/>
    <col min="3" max="3" width="10.140625" bestFit="1" customWidth="1"/>
    <col min="4" max="4" width="10.140625" customWidth="1"/>
    <col min="5" max="7" width="9.28515625" bestFit="1" customWidth="1"/>
    <col min="8" max="8" width="11.28515625" bestFit="1" customWidth="1"/>
    <col min="9" max="9" width="11.28515625" customWidth="1"/>
    <col min="10" max="10" width="12.28515625" bestFit="1" customWidth="1"/>
    <col min="11" max="12" width="2.7109375" customWidth="1"/>
    <col min="13" max="13" width="10.5703125" customWidth="1"/>
    <col min="14" max="15" width="9.28515625" bestFit="1" customWidth="1"/>
    <col min="16" max="16" width="11.28515625" bestFit="1" customWidth="1"/>
    <col min="17" max="17" width="13.5703125" bestFit="1" customWidth="1"/>
    <col min="18" max="18" width="12.140625" bestFit="1" customWidth="1"/>
    <col min="19" max="19" width="30.7109375" customWidth="1"/>
  </cols>
  <sheetData>
    <row r="1" spans="1:21" ht="18.75">
      <c r="B1" s="38" t="s">
        <v>84</v>
      </c>
      <c r="C1" s="38"/>
      <c r="D1" s="25"/>
      <c r="L1" s="2"/>
    </row>
    <row r="2" spans="1:21" ht="18.75">
      <c r="B2" s="38"/>
      <c r="C2" s="38"/>
      <c r="D2" s="25"/>
      <c r="L2" s="2"/>
    </row>
    <row r="3" spans="1:21">
      <c r="B3" s="41" t="s">
        <v>1</v>
      </c>
      <c r="C3" s="34" t="s">
        <v>2</v>
      </c>
      <c r="D3" s="34" t="s">
        <v>3</v>
      </c>
      <c r="E3" s="34" t="s">
        <v>4</v>
      </c>
      <c r="F3" s="39" t="s">
        <v>5</v>
      </c>
      <c r="G3" s="39" t="s">
        <v>6</v>
      </c>
      <c r="H3" s="34" t="s">
        <v>7</v>
      </c>
      <c r="I3" s="34" t="s">
        <v>8</v>
      </c>
      <c r="J3" s="34" t="s">
        <v>9</v>
      </c>
      <c r="K3" s="4"/>
      <c r="L3" s="6"/>
      <c r="M3" s="34" t="s">
        <v>10</v>
      </c>
      <c r="N3" s="34" t="s">
        <v>4</v>
      </c>
      <c r="O3" s="34" t="s">
        <v>11</v>
      </c>
      <c r="P3" s="34" t="s">
        <v>7</v>
      </c>
      <c r="Q3" s="34" t="s">
        <v>8</v>
      </c>
      <c r="R3" s="34" t="s">
        <v>9</v>
      </c>
      <c r="S3" s="34" t="s">
        <v>12</v>
      </c>
    </row>
    <row r="4" spans="1:21" ht="15" customHeight="1">
      <c r="A4" s="1"/>
      <c r="B4" s="42"/>
      <c r="C4" s="35"/>
      <c r="D4" s="35"/>
      <c r="E4" s="35"/>
      <c r="F4" s="40"/>
      <c r="G4" s="40"/>
      <c r="H4" s="35"/>
      <c r="I4" s="35"/>
      <c r="J4" s="35"/>
      <c r="K4" s="7"/>
      <c r="L4" s="12"/>
      <c r="M4" s="35"/>
      <c r="N4" s="35"/>
      <c r="O4" s="35"/>
      <c r="P4" s="35"/>
      <c r="Q4" s="35"/>
      <c r="R4" s="35"/>
      <c r="S4" s="35"/>
    </row>
    <row r="5" spans="1:21" ht="2.25" customHeight="1">
      <c r="B5" s="3"/>
      <c r="C5" s="4"/>
      <c r="D5" s="4"/>
      <c r="E5" s="4"/>
      <c r="F5" s="5"/>
      <c r="G5" s="5"/>
      <c r="H5" s="4"/>
      <c r="I5" s="4"/>
      <c r="J5" s="4"/>
      <c r="K5" s="4"/>
      <c r="L5" s="6"/>
      <c r="M5" s="4"/>
      <c r="N5" s="4"/>
      <c r="O5" s="4"/>
      <c r="P5" s="4"/>
      <c r="Q5" s="4"/>
      <c r="R5" s="4"/>
    </row>
    <row r="6" spans="1:21">
      <c r="B6" s="16" t="s">
        <v>85</v>
      </c>
      <c r="C6" s="17">
        <v>31</v>
      </c>
      <c r="D6" s="17">
        <v>20</v>
      </c>
      <c r="E6" s="18">
        <v>20</v>
      </c>
      <c r="F6" s="18">
        <v>0</v>
      </c>
      <c r="G6" s="18">
        <v>0</v>
      </c>
      <c r="H6" s="17">
        <f>C6*E6</f>
        <v>620</v>
      </c>
      <c r="I6" s="17">
        <f>C6*(F6+G6)</f>
        <v>0</v>
      </c>
      <c r="J6" s="17">
        <f>H6-I6+D6</f>
        <v>640</v>
      </c>
      <c r="K6" s="17"/>
      <c r="L6" s="19"/>
      <c r="M6" s="17">
        <f>6*2</f>
        <v>12</v>
      </c>
      <c r="N6" s="18">
        <v>20</v>
      </c>
      <c r="O6" s="18">
        <v>8</v>
      </c>
      <c r="P6" s="17">
        <f>M6*N6</f>
        <v>240</v>
      </c>
      <c r="Q6" s="17">
        <f>M6*(F6+O6+G6)</f>
        <v>96</v>
      </c>
      <c r="R6" s="17">
        <f>P6-Q6</f>
        <v>144</v>
      </c>
      <c r="S6" s="16" t="s">
        <v>17</v>
      </c>
      <c r="T6" s="8"/>
    </row>
    <row r="7" spans="1:21">
      <c r="B7" s="16" t="s">
        <v>86</v>
      </c>
      <c r="C7" s="17">
        <v>31</v>
      </c>
      <c r="D7" s="17">
        <v>20</v>
      </c>
      <c r="E7" s="18">
        <v>20</v>
      </c>
      <c r="F7" s="18">
        <v>0</v>
      </c>
      <c r="G7" s="18">
        <v>0</v>
      </c>
      <c r="H7" s="17">
        <f>C7*E7</f>
        <v>620</v>
      </c>
      <c r="I7" s="17">
        <f>C7*(F7+G7)</f>
        <v>0</v>
      </c>
      <c r="J7" s="17">
        <f>H7-I7+D7</f>
        <v>640</v>
      </c>
      <c r="K7" s="17"/>
      <c r="L7" s="19"/>
      <c r="M7" s="17">
        <f>9.35*2</f>
        <v>18.7</v>
      </c>
      <c r="N7" s="18">
        <v>20</v>
      </c>
      <c r="O7" s="18">
        <v>8</v>
      </c>
      <c r="P7" s="17">
        <f>M7*N7</f>
        <v>374</v>
      </c>
      <c r="Q7" s="17">
        <f>M7*(F7+O7+G7)</f>
        <v>149.6</v>
      </c>
      <c r="R7" s="17">
        <f>P7-Q7</f>
        <v>224.4</v>
      </c>
      <c r="S7" s="16" t="s">
        <v>17</v>
      </c>
      <c r="T7" s="8"/>
    </row>
    <row r="8" spans="1:21">
      <c r="B8" s="16" t="s">
        <v>87</v>
      </c>
      <c r="C8" s="17">
        <v>31</v>
      </c>
      <c r="D8" s="17">
        <v>20</v>
      </c>
      <c r="E8" s="18">
        <v>20</v>
      </c>
      <c r="F8" s="18">
        <v>0</v>
      </c>
      <c r="G8" s="18">
        <v>0</v>
      </c>
      <c r="H8" s="17">
        <f t="shared" ref="H8:H10" si="0">C8*E8</f>
        <v>620</v>
      </c>
      <c r="I8" s="17">
        <f t="shared" ref="I8:I10" si="1">C8*(F8+G8)</f>
        <v>0</v>
      </c>
      <c r="J8" s="17">
        <f t="shared" ref="J8:J10" si="2">H8-I8+D8</f>
        <v>640</v>
      </c>
      <c r="K8" s="17"/>
      <c r="L8" s="19"/>
      <c r="M8" s="17">
        <f>(5+4.8)*2</f>
        <v>19.600000000000001</v>
      </c>
      <c r="N8" s="18">
        <v>20</v>
      </c>
      <c r="O8" s="18">
        <v>8</v>
      </c>
      <c r="P8" s="17">
        <f>M8*N8</f>
        <v>392</v>
      </c>
      <c r="Q8" s="17">
        <f>M8*(F8+O8+G8)</f>
        <v>156.80000000000001</v>
      </c>
      <c r="R8" s="17">
        <f>P8-Q8</f>
        <v>235.2</v>
      </c>
      <c r="S8" s="16" t="s">
        <v>17</v>
      </c>
      <c r="T8" s="8"/>
      <c r="U8" s="8"/>
    </row>
    <row r="9" spans="1:21">
      <c r="B9" s="16" t="s">
        <v>88</v>
      </c>
      <c r="C9" s="17">
        <v>31</v>
      </c>
      <c r="D9" s="17">
        <v>20</v>
      </c>
      <c r="E9" s="18">
        <v>20</v>
      </c>
      <c r="F9" s="18">
        <v>0</v>
      </c>
      <c r="G9" s="18">
        <v>0</v>
      </c>
      <c r="H9" s="17">
        <f t="shared" si="0"/>
        <v>620</v>
      </c>
      <c r="I9" s="17">
        <f t="shared" si="1"/>
        <v>0</v>
      </c>
      <c r="J9" s="17">
        <f t="shared" si="2"/>
        <v>640</v>
      </c>
      <c r="K9" s="17"/>
      <c r="L9" s="19"/>
      <c r="M9" s="17">
        <f>6*2</f>
        <v>12</v>
      </c>
      <c r="N9" s="18">
        <v>20</v>
      </c>
      <c r="O9" s="18">
        <v>8</v>
      </c>
      <c r="P9" s="17">
        <f>M9*N9</f>
        <v>240</v>
      </c>
      <c r="Q9" s="17">
        <f>M9*(F9+O9+G9)</f>
        <v>96</v>
      </c>
      <c r="R9" s="17">
        <f>P9-Q9</f>
        <v>144</v>
      </c>
      <c r="S9" s="16" t="s">
        <v>17</v>
      </c>
      <c r="T9" s="8"/>
      <c r="U9" s="8"/>
    </row>
    <row r="10" spans="1:21">
      <c r="B10" s="16" t="s">
        <v>89</v>
      </c>
      <c r="C10" s="17">
        <v>31</v>
      </c>
      <c r="D10" s="17">
        <v>20</v>
      </c>
      <c r="E10" s="18">
        <v>20</v>
      </c>
      <c r="F10" s="18">
        <v>0</v>
      </c>
      <c r="G10" s="18">
        <v>2</v>
      </c>
      <c r="H10" s="17">
        <f t="shared" si="0"/>
        <v>620</v>
      </c>
      <c r="I10" s="17">
        <f t="shared" si="1"/>
        <v>62</v>
      </c>
      <c r="J10" s="17">
        <f t="shared" si="2"/>
        <v>578</v>
      </c>
      <c r="K10" s="17"/>
      <c r="L10" s="19"/>
      <c r="M10" s="17">
        <f>10.9*2</f>
        <v>21.8</v>
      </c>
      <c r="N10" s="18">
        <v>20</v>
      </c>
      <c r="O10" s="18">
        <v>8</v>
      </c>
      <c r="P10" s="17">
        <f t="shared" ref="P10" si="3">M10*N10</f>
        <v>436</v>
      </c>
      <c r="Q10" s="17">
        <f t="shared" ref="Q10" si="4">M10*(F10+O10+G10)</f>
        <v>218</v>
      </c>
      <c r="R10" s="17">
        <f t="shared" ref="R10" si="5">P10-Q10</f>
        <v>218</v>
      </c>
      <c r="S10" s="16" t="s">
        <v>26</v>
      </c>
    </row>
    <row r="11" spans="1:21" ht="4.5" customHeight="1">
      <c r="B11" s="8"/>
      <c r="C11" s="13"/>
      <c r="D11" s="13"/>
      <c r="E11" s="18"/>
      <c r="F11" s="14"/>
      <c r="G11" s="14"/>
      <c r="H11" s="13"/>
      <c r="I11" s="13"/>
      <c r="J11" s="17"/>
      <c r="K11" s="13"/>
      <c r="L11" s="15"/>
      <c r="M11" s="13"/>
      <c r="N11" s="14"/>
      <c r="O11" s="14"/>
      <c r="P11" s="17"/>
      <c r="Q11" s="13"/>
      <c r="R11" s="13"/>
      <c r="S11" s="8"/>
    </row>
    <row r="12" spans="1:21">
      <c r="B12" s="8"/>
      <c r="C12" s="13"/>
      <c r="D12" s="13"/>
      <c r="E12" s="14"/>
      <c r="F12" s="14"/>
      <c r="G12" s="14"/>
      <c r="H12" s="17"/>
      <c r="I12" s="17" t="s">
        <v>54</v>
      </c>
      <c r="J12" s="17">
        <f>SUM(J6:J11)</f>
        <v>3138</v>
      </c>
      <c r="K12" s="17"/>
      <c r="L12" s="19"/>
      <c r="M12" s="17"/>
      <c r="N12" s="18"/>
      <c r="O12" s="18"/>
      <c r="P12" s="22"/>
      <c r="Q12" s="20" t="s">
        <v>26</v>
      </c>
      <c r="R12" s="21">
        <f>R10</f>
        <v>218</v>
      </c>
      <c r="S12" s="8"/>
    </row>
    <row r="13" spans="1:21">
      <c r="B13" s="8"/>
      <c r="C13" s="13"/>
      <c r="D13" s="13"/>
      <c r="E13" s="14"/>
      <c r="F13" s="14"/>
      <c r="G13" s="14"/>
      <c r="H13" s="17"/>
      <c r="I13" s="17"/>
      <c r="J13" s="17"/>
      <c r="K13" s="17"/>
      <c r="L13" s="19"/>
      <c r="M13" s="17"/>
      <c r="N13" s="18"/>
      <c r="O13" s="18"/>
      <c r="P13" s="22"/>
      <c r="Q13" s="20" t="s">
        <v>17</v>
      </c>
      <c r="R13" s="21">
        <f>R6+R7+R8+R9</f>
        <v>747.59999999999991</v>
      </c>
      <c r="S13" s="8"/>
    </row>
    <row r="14" spans="1:21">
      <c r="B14" s="8"/>
      <c r="C14" s="13"/>
      <c r="D14" s="13"/>
      <c r="E14" s="14"/>
      <c r="F14" s="14"/>
      <c r="G14" s="14"/>
      <c r="H14" s="17"/>
      <c r="I14" s="17"/>
      <c r="J14" s="17"/>
      <c r="K14" s="17"/>
      <c r="L14" s="19"/>
      <c r="M14" s="17"/>
      <c r="N14" s="18"/>
      <c r="O14" s="18"/>
      <c r="P14" s="13"/>
      <c r="Q14" s="13"/>
      <c r="R14" s="13"/>
      <c r="S14" s="8"/>
    </row>
    <row r="15" spans="1:21">
      <c r="B15" s="8"/>
      <c r="C15" s="13"/>
      <c r="D15" s="13"/>
      <c r="E15" s="14"/>
      <c r="F15" s="14"/>
      <c r="G15" s="14"/>
      <c r="H15" s="13"/>
      <c r="I15" s="13"/>
      <c r="J15" s="13"/>
      <c r="K15" s="13"/>
      <c r="L15" s="15"/>
      <c r="M15" s="13"/>
      <c r="N15" s="14"/>
      <c r="O15" s="14"/>
      <c r="P15" s="13"/>
      <c r="Q15" s="13"/>
      <c r="R15" s="13"/>
      <c r="S15" s="8"/>
    </row>
    <row r="16" spans="1:21">
      <c r="B16" s="8"/>
      <c r="C16" s="13"/>
      <c r="D16" s="13"/>
      <c r="E16" s="14"/>
      <c r="F16" s="14"/>
      <c r="G16" s="14"/>
      <c r="H16" s="13"/>
      <c r="I16" s="13"/>
      <c r="J16" s="13"/>
      <c r="K16" s="13"/>
      <c r="L16" s="15"/>
      <c r="M16" s="13"/>
      <c r="N16" s="14"/>
      <c r="O16" s="14"/>
      <c r="P16" s="13"/>
      <c r="Q16" s="13"/>
      <c r="R16" s="13"/>
      <c r="S16" s="8"/>
    </row>
    <row r="17" spans="2:19">
      <c r="B17" s="8"/>
      <c r="C17" s="13"/>
      <c r="D17" s="13"/>
      <c r="E17" s="14"/>
      <c r="F17" s="14"/>
      <c r="G17" s="14"/>
      <c r="H17" s="13"/>
      <c r="I17" s="13"/>
      <c r="J17" s="13"/>
      <c r="K17" s="13"/>
      <c r="L17" s="15"/>
      <c r="M17" s="13"/>
      <c r="N17" s="14"/>
      <c r="O17" s="14"/>
      <c r="P17" s="13"/>
      <c r="Q17" s="13"/>
      <c r="R17" s="13"/>
      <c r="S17" s="8"/>
    </row>
    <row r="18" spans="2:19">
      <c r="B18" s="8"/>
      <c r="C18" s="13"/>
      <c r="D18" s="13"/>
      <c r="E18" s="14"/>
      <c r="F18" s="14"/>
      <c r="G18" s="14"/>
      <c r="H18" s="13"/>
      <c r="I18" s="13"/>
      <c r="J18" s="13"/>
      <c r="K18" s="13"/>
      <c r="L18" s="15"/>
      <c r="M18" s="13"/>
      <c r="N18" s="14"/>
      <c r="O18" s="14"/>
      <c r="P18" s="13"/>
      <c r="Q18" s="13"/>
      <c r="R18" s="13"/>
      <c r="S18" s="8"/>
    </row>
    <row r="19" spans="2:19">
      <c r="B19" s="8"/>
      <c r="C19" s="13"/>
      <c r="D19" s="13"/>
      <c r="E19" s="14"/>
      <c r="F19" s="14"/>
      <c r="G19" s="14"/>
      <c r="H19" s="13"/>
      <c r="I19" s="13"/>
      <c r="J19" s="13"/>
      <c r="K19" s="13"/>
      <c r="L19" s="15"/>
      <c r="M19" s="13"/>
      <c r="N19" s="14"/>
      <c r="O19" s="14"/>
      <c r="P19" s="13"/>
      <c r="Q19" s="13"/>
      <c r="R19" s="13"/>
      <c r="S19" s="8"/>
    </row>
    <row r="20" spans="2:19">
      <c r="B20" s="8"/>
      <c r="C20" s="13"/>
      <c r="D20" s="13"/>
      <c r="E20" s="14"/>
      <c r="F20" s="14"/>
      <c r="G20" s="14"/>
      <c r="H20" s="13"/>
      <c r="I20" s="13"/>
      <c r="J20" s="13"/>
      <c r="K20" s="13"/>
      <c r="L20" s="15"/>
      <c r="M20" s="13"/>
      <c r="N20" s="14"/>
      <c r="O20" s="14"/>
      <c r="P20" s="13"/>
      <c r="Q20" s="13"/>
      <c r="R20" s="13"/>
      <c r="S20" s="8"/>
    </row>
    <row r="21" spans="2:19">
      <c r="B21" s="9"/>
      <c r="C21" s="13"/>
      <c r="D21" s="13"/>
      <c r="E21" s="14"/>
      <c r="F21" s="14"/>
      <c r="G21" s="14"/>
      <c r="H21" s="13"/>
      <c r="I21" s="13"/>
      <c r="J21" s="13"/>
      <c r="K21" s="13"/>
      <c r="L21" s="15"/>
      <c r="M21" s="13"/>
      <c r="N21" s="14"/>
      <c r="O21" s="14"/>
      <c r="P21" s="10"/>
      <c r="S21" s="8"/>
    </row>
    <row r="22" spans="2:19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0"/>
      <c r="N22" s="10"/>
      <c r="O22" s="10"/>
      <c r="P22" s="10"/>
    </row>
    <row r="23" spans="2:19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0"/>
      <c r="N23" s="10"/>
      <c r="O23" s="10"/>
      <c r="P23" s="10"/>
    </row>
    <row r="24" spans="2:19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0"/>
      <c r="N24" s="10"/>
      <c r="O24" s="10"/>
      <c r="P24" s="10"/>
    </row>
    <row r="25" spans="2:19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0"/>
      <c r="N25" s="10"/>
      <c r="O25" s="10"/>
      <c r="P25" s="10"/>
    </row>
    <row r="26" spans="2:19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0"/>
      <c r="N26" s="10"/>
      <c r="O26" s="10"/>
      <c r="P26" s="10"/>
    </row>
    <row r="27" spans="2:19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0"/>
      <c r="N27" s="10"/>
      <c r="O27" s="10"/>
      <c r="P27" s="10"/>
    </row>
    <row r="28" spans="2:19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0"/>
      <c r="N28" s="10"/>
      <c r="O28" s="10"/>
      <c r="P28" s="10"/>
    </row>
    <row r="29" spans="2:19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0"/>
      <c r="N29" s="10"/>
      <c r="O29" s="10"/>
      <c r="P29" s="10"/>
    </row>
    <row r="30" spans="2:19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0"/>
      <c r="N30" s="10"/>
      <c r="O30" s="10"/>
      <c r="P30" s="10"/>
    </row>
    <row r="31" spans="2:19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  <c r="N31" s="10"/>
      <c r="O31" s="10"/>
      <c r="P31" s="10"/>
    </row>
    <row r="32" spans="2:19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</sheetData>
  <mergeCells count="17">
    <mergeCell ref="G3:G4"/>
    <mergeCell ref="B1:C2"/>
    <mergeCell ref="B3:B4"/>
    <mergeCell ref="C3:C4"/>
    <mergeCell ref="E3:E4"/>
    <mergeCell ref="F3:F4"/>
    <mergeCell ref="D3:D4"/>
    <mergeCell ref="P3:P4"/>
    <mergeCell ref="Q3:Q4"/>
    <mergeCell ref="R3:R4"/>
    <mergeCell ref="S3:S4"/>
    <mergeCell ref="H3:H4"/>
    <mergeCell ref="I3:I4"/>
    <mergeCell ref="J3:J4"/>
    <mergeCell ref="M3:M4"/>
    <mergeCell ref="N3:N4"/>
    <mergeCell ref="O3:O4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043A-4DD6-4349-93BA-BE56AFB29F2F}">
  <dimension ref="A1:H26"/>
  <sheetViews>
    <sheetView showGridLines="0" workbookViewId="0">
      <selection activeCell="E4" sqref="E4:F4"/>
    </sheetView>
  </sheetViews>
  <sheetFormatPr defaultRowHeight="15"/>
  <cols>
    <col min="1" max="1" width="2.7109375" customWidth="1"/>
    <col min="2" max="2" width="15.140625" bestFit="1" customWidth="1"/>
    <col min="3" max="3" width="2.7109375" customWidth="1"/>
    <col min="4" max="4" width="34.85546875" bestFit="1" customWidth="1"/>
    <col min="5" max="5" width="2.7109375" customWidth="1"/>
    <col min="6" max="6" width="18" customWidth="1"/>
    <col min="7" max="7" width="2.7109375" customWidth="1"/>
    <col min="8" max="8" width="24" customWidth="1"/>
    <col min="9" max="9" width="2.7109375" customWidth="1"/>
  </cols>
  <sheetData>
    <row r="1" spans="1:8" ht="15" customHeight="1">
      <c r="A1" s="46" t="s">
        <v>90</v>
      </c>
      <c r="B1" s="47"/>
      <c r="C1" s="47"/>
      <c r="D1" s="48"/>
      <c r="E1" s="54" t="s">
        <v>91</v>
      </c>
      <c r="F1" s="55"/>
      <c r="G1" s="55"/>
      <c r="H1" s="56"/>
    </row>
    <row r="2" spans="1:8" ht="15" customHeight="1">
      <c r="A2" s="49"/>
      <c r="B2" s="50"/>
      <c r="C2" s="50"/>
      <c r="D2" s="51"/>
      <c r="E2" s="57"/>
      <c r="F2" s="58"/>
      <c r="G2" s="58"/>
      <c r="H2" s="59"/>
    </row>
    <row r="3" spans="1:8" ht="5.25" customHeight="1">
      <c r="A3" s="29" t="s">
        <v>92</v>
      </c>
      <c r="B3" s="30" t="s">
        <v>92</v>
      </c>
      <c r="C3" s="30" t="s">
        <v>92</v>
      </c>
      <c r="D3" s="30"/>
      <c r="E3" s="29" t="s">
        <v>92</v>
      </c>
      <c r="F3" s="30" t="s">
        <v>92</v>
      </c>
      <c r="G3" s="30"/>
      <c r="H3" s="31" t="s">
        <v>92</v>
      </c>
    </row>
    <row r="4" spans="1:8" ht="21" customHeight="1">
      <c r="A4" s="60"/>
      <c r="B4" s="61"/>
      <c r="C4" s="61" t="s">
        <v>93</v>
      </c>
      <c r="D4" s="62"/>
      <c r="E4" s="52">
        <v>46119</v>
      </c>
      <c r="F4" s="53"/>
      <c r="G4" s="61" t="s">
        <v>94</v>
      </c>
      <c r="H4" s="62"/>
    </row>
    <row r="5" spans="1:8" ht="21" customHeight="1">
      <c r="A5" s="60"/>
      <c r="B5" s="61"/>
      <c r="C5" s="61" t="s">
        <v>95</v>
      </c>
      <c r="D5" s="62"/>
      <c r="E5" s="44">
        <v>46119</v>
      </c>
      <c r="F5" s="45"/>
      <c r="G5" s="61" t="s">
        <v>94</v>
      </c>
      <c r="H5" s="62"/>
    </row>
    <row r="6" spans="1:8" ht="21" customHeight="1">
      <c r="A6" s="60"/>
      <c r="B6" s="61"/>
      <c r="C6" s="61" t="s">
        <v>96</v>
      </c>
      <c r="D6" s="62"/>
      <c r="E6" s="44">
        <v>46112</v>
      </c>
      <c r="F6" s="45"/>
      <c r="G6" s="61" t="s">
        <v>97</v>
      </c>
      <c r="H6" s="62"/>
    </row>
    <row r="7" spans="1:8" ht="21" customHeight="1">
      <c r="A7" s="60"/>
      <c r="B7" s="61"/>
      <c r="C7" s="61" t="s">
        <v>98</v>
      </c>
      <c r="D7" s="62"/>
      <c r="E7" s="44">
        <v>46125</v>
      </c>
      <c r="F7" s="45"/>
      <c r="G7" s="61" t="s">
        <v>99</v>
      </c>
      <c r="H7" s="62"/>
    </row>
    <row r="8" spans="1:8" ht="21" customHeight="1">
      <c r="A8" s="60"/>
      <c r="B8" s="61"/>
      <c r="C8" s="61" t="s">
        <v>100</v>
      </c>
      <c r="D8" s="62"/>
      <c r="E8" s="44">
        <v>46112</v>
      </c>
      <c r="F8" s="45"/>
      <c r="G8" s="61" t="s">
        <v>94</v>
      </c>
      <c r="H8" s="62"/>
    </row>
    <row r="9" spans="1:8" ht="21" customHeight="1">
      <c r="A9" s="60"/>
      <c r="B9" s="61"/>
      <c r="C9" s="61" t="s">
        <v>100</v>
      </c>
      <c r="D9" s="62"/>
      <c r="E9" s="44">
        <v>46120</v>
      </c>
      <c r="F9" s="45"/>
      <c r="G9" s="61" t="s">
        <v>94</v>
      </c>
      <c r="H9" s="62"/>
    </row>
    <row r="10" spans="1:8" ht="21" customHeight="1">
      <c r="A10" s="60"/>
      <c r="B10" s="61"/>
      <c r="C10" s="61" t="s">
        <v>100</v>
      </c>
      <c r="D10" s="62"/>
      <c r="E10" s="44">
        <v>46127</v>
      </c>
      <c r="F10" s="45"/>
      <c r="G10" s="61" t="s">
        <v>94</v>
      </c>
      <c r="H10" s="62"/>
    </row>
    <row r="11" spans="1:8" ht="21" customHeight="1">
      <c r="A11" s="60"/>
      <c r="B11" s="61" t="s">
        <v>100</v>
      </c>
      <c r="C11" s="61" t="s">
        <v>100</v>
      </c>
      <c r="D11" s="62"/>
      <c r="E11" s="44">
        <v>46129</v>
      </c>
      <c r="F11" s="45"/>
      <c r="G11" s="61" t="s">
        <v>94</v>
      </c>
      <c r="H11" s="62"/>
    </row>
    <row r="12" spans="1:8" ht="21" customHeight="1">
      <c r="A12" s="60"/>
      <c r="B12" s="61"/>
      <c r="C12" s="61" t="s">
        <v>101</v>
      </c>
      <c r="D12" s="62"/>
      <c r="E12" s="44">
        <v>46120</v>
      </c>
      <c r="F12" s="45"/>
      <c r="G12" s="61" t="s">
        <v>94</v>
      </c>
      <c r="H12" s="62"/>
    </row>
    <row r="13" spans="1:8" ht="21" customHeight="1">
      <c r="A13" s="60"/>
      <c r="B13" s="61"/>
      <c r="C13" s="61" t="s">
        <v>102</v>
      </c>
      <c r="D13" s="62"/>
      <c r="E13" s="44">
        <v>46122</v>
      </c>
      <c r="F13" s="45"/>
      <c r="G13" s="61" t="s">
        <v>97</v>
      </c>
      <c r="H13" s="62"/>
    </row>
    <row r="14" spans="1:8" ht="21" customHeight="1">
      <c r="A14" s="60"/>
      <c r="B14" s="61"/>
      <c r="C14" s="61" t="s">
        <v>102</v>
      </c>
      <c r="D14" s="62"/>
      <c r="E14" s="44">
        <v>46125</v>
      </c>
      <c r="F14" s="45"/>
      <c r="G14" s="61" t="s">
        <v>99</v>
      </c>
      <c r="H14" s="62"/>
    </row>
    <row r="15" spans="1:8" ht="21" customHeight="1">
      <c r="A15" s="60"/>
      <c r="B15" s="61"/>
      <c r="C15" s="61" t="s">
        <v>103</v>
      </c>
      <c r="D15" s="62"/>
      <c r="E15" s="44" t="s">
        <v>104</v>
      </c>
      <c r="F15" s="45"/>
      <c r="G15" s="61" t="s">
        <v>94</v>
      </c>
      <c r="H15" s="62"/>
    </row>
    <row r="16" spans="1:8" ht="21" customHeight="1">
      <c r="A16" s="60"/>
      <c r="B16" s="61"/>
      <c r="C16" s="61" t="s">
        <v>105</v>
      </c>
      <c r="D16" s="62"/>
      <c r="E16" s="44" t="s">
        <v>106</v>
      </c>
      <c r="F16" s="45"/>
      <c r="G16" s="61" t="s">
        <v>94</v>
      </c>
      <c r="H16" s="62"/>
    </row>
    <row r="17" spans="1:8" ht="21" customHeight="1">
      <c r="A17" s="60"/>
      <c r="B17" s="61"/>
      <c r="C17" s="61" t="s">
        <v>107</v>
      </c>
      <c r="D17" s="62"/>
      <c r="E17" s="44">
        <v>46128</v>
      </c>
      <c r="F17" s="45"/>
      <c r="G17" s="61" t="s">
        <v>97</v>
      </c>
      <c r="H17" s="62"/>
    </row>
    <row r="18" spans="1:8" ht="21" customHeight="1">
      <c r="A18" s="60"/>
      <c r="B18" s="61"/>
      <c r="C18" s="61" t="s">
        <v>108</v>
      </c>
      <c r="D18" s="62"/>
      <c r="E18" s="44">
        <v>46104</v>
      </c>
      <c r="F18" s="45"/>
      <c r="G18" s="61" t="s">
        <v>97</v>
      </c>
      <c r="H18" s="62"/>
    </row>
    <row r="19" spans="1:8" ht="21" customHeight="1">
      <c r="A19" s="60"/>
      <c r="B19" s="61"/>
      <c r="C19" s="61" t="s">
        <v>109</v>
      </c>
      <c r="D19" s="62"/>
      <c r="E19" s="44" t="s">
        <v>110</v>
      </c>
      <c r="F19" s="45"/>
      <c r="G19" s="61" t="s">
        <v>94</v>
      </c>
      <c r="H19" s="62"/>
    </row>
    <row r="20" spans="1:8" ht="21" customHeight="1">
      <c r="A20" s="60"/>
      <c r="B20" s="61"/>
      <c r="C20" s="61" t="s">
        <v>111</v>
      </c>
      <c r="D20" s="62"/>
      <c r="E20" s="44">
        <v>46128</v>
      </c>
      <c r="F20" s="45"/>
      <c r="G20" s="61" t="s">
        <v>94</v>
      </c>
      <c r="H20" s="62"/>
    </row>
    <row r="21" spans="1:8" ht="21" customHeight="1">
      <c r="A21" s="60"/>
      <c r="B21" s="61"/>
      <c r="C21" s="61" t="s">
        <v>112</v>
      </c>
      <c r="D21" s="62"/>
      <c r="E21" s="44">
        <v>46101</v>
      </c>
      <c r="F21" s="45"/>
      <c r="G21" s="61" t="s">
        <v>97</v>
      </c>
      <c r="H21" s="62"/>
    </row>
    <row r="22" spans="1:8" ht="21" customHeight="1">
      <c r="A22" s="60"/>
      <c r="B22" s="61"/>
      <c r="C22" s="61" t="s">
        <v>112</v>
      </c>
      <c r="D22" s="62"/>
      <c r="E22" s="44">
        <v>46125</v>
      </c>
      <c r="F22" s="45"/>
      <c r="G22" s="61" t="s">
        <v>99</v>
      </c>
      <c r="H22" s="62"/>
    </row>
    <row r="23" spans="1:8" ht="21" customHeight="1">
      <c r="A23" s="60"/>
      <c r="B23" s="61"/>
      <c r="C23" s="61"/>
      <c r="D23" s="62"/>
      <c r="E23" s="44"/>
      <c r="F23" s="45"/>
      <c r="G23" s="61"/>
      <c r="H23" s="62"/>
    </row>
    <row r="24" spans="1:8" ht="21" customHeight="1">
      <c r="A24" s="60"/>
      <c r="B24" s="61"/>
      <c r="C24" s="61"/>
      <c r="D24" s="62"/>
      <c r="E24" s="44"/>
      <c r="F24" s="45"/>
      <c r="G24" s="61"/>
      <c r="H24" s="62"/>
    </row>
    <row r="25" spans="1:8" ht="21" customHeight="1">
      <c r="A25" s="60"/>
      <c r="B25" s="61"/>
      <c r="C25" s="61"/>
      <c r="D25" s="62"/>
      <c r="E25" s="44"/>
      <c r="F25" s="45"/>
      <c r="G25" s="61"/>
      <c r="H25" s="62"/>
    </row>
    <row r="26" spans="1:8" ht="21" customHeight="1">
      <c r="A26" s="60"/>
      <c r="B26" s="61"/>
      <c r="C26" s="61"/>
      <c r="D26" s="62"/>
      <c r="E26" s="44"/>
      <c r="F26" s="45"/>
      <c r="G26" s="61"/>
      <c r="H26" s="62"/>
    </row>
  </sheetData>
  <mergeCells count="94">
    <mergeCell ref="A26:B26"/>
    <mergeCell ref="C26:D26"/>
    <mergeCell ref="A24:B24"/>
    <mergeCell ref="C24:D24"/>
    <mergeCell ref="E24:F24"/>
    <mergeCell ref="G24:H24"/>
    <mergeCell ref="A25:B25"/>
    <mergeCell ref="C25:D25"/>
    <mergeCell ref="E25:F25"/>
    <mergeCell ref="G25:H25"/>
    <mergeCell ref="A19:B19"/>
    <mergeCell ref="C19:D19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G23:H23"/>
    <mergeCell ref="E23:F23"/>
    <mergeCell ref="A22:B22"/>
    <mergeCell ref="C22:D22"/>
    <mergeCell ref="A23:B23"/>
    <mergeCell ref="C23:D23"/>
    <mergeCell ref="E13:F13"/>
    <mergeCell ref="A10:B10"/>
    <mergeCell ref="C10:D10"/>
    <mergeCell ref="E10:F10"/>
    <mergeCell ref="G10:H10"/>
    <mergeCell ref="G13:H13"/>
    <mergeCell ref="A11:B11"/>
    <mergeCell ref="C11:D11"/>
    <mergeCell ref="A12:B12"/>
    <mergeCell ref="C12:D12"/>
    <mergeCell ref="A13:B13"/>
    <mergeCell ref="C13:D13"/>
    <mergeCell ref="A1:D2"/>
    <mergeCell ref="E1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E12:F12"/>
    <mergeCell ref="G12:H12"/>
    <mergeCell ref="A8:B8"/>
    <mergeCell ref="C8:D8"/>
    <mergeCell ref="E8:F8"/>
    <mergeCell ref="G8:H8"/>
    <mergeCell ref="A9:B9"/>
    <mergeCell ref="C9:D9"/>
    <mergeCell ref="E9:F9"/>
    <mergeCell ref="G9:H9"/>
    <mergeCell ref="E11:F11"/>
    <mergeCell ref="G11:H11"/>
    <mergeCell ref="E14:F14"/>
    <mergeCell ref="G14:H14"/>
    <mergeCell ref="E15:F15"/>
    <mergeCell ref="G15:H15"/>
    <mergeCell ref="A14:B14"/>
    <mergeCell ref="C14:D14"/>
    <mergeCell ref="A15:B15"/>
    <mergeCell ref="C15:D15"/>
    <mergeCell ref="E19:F19"/>
    <mergeCell ref="G19:H19"/>
    <mergeCell ref="E26:F26"/>
    <mergeCell ref="G26:H26"/>
    <mergeCell ref="E16:F16"/>
    <mergeCell ref="G16:H16"/>
    <mergeCell ref="E17:F17"/>
    <mergeCell ref="G17:H17"/>
    <mergeCell ref="E18:F18"/>
    <mergeCell ref="G18:H18"/>
    <mergeCell ref="E20:F20"/>
    <mergeCell ref="G20:H20"/>
    <mergeCell ref="E21:F21"/>
    <mergeCell ref="G21:H21"/>
    <mergeCell ref="E22:F22"/>
    <mergeCell ref="G22:H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Comercial - Rubem Marques</dc:creator>
  <cp:keywords/>
  <dc:description/>
  <cp:lastModifiedBy>Caroline Karnal - Recursos Humanos</cp:lastModifiedBy>
  <cp:revision/>
  <dcterms:created xsi:type="dcterms:W3CDTF">2023-07-24T18:57:32Z</dcterms:created>
  <dcterms:modified xsi:type="dcterms:W3CDTF">2026-04-23T13:13:24Z</dcterms:modified>
  <cp:category/>
  <cp:contentStatus/>
</cp:coreProperties>
</file>